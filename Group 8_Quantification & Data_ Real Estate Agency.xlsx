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7c06acc2da36ad/Desktop/AICT Final Project/"/>
    </mc:Choice>
  </mc:AlternateContent>
  <xr:revisionPtr revIDLastSave="23" documentId="13_ncr:1_{E3467C60-C99A-4298-9414-513E7008B4DD}" xr6:coauthVersionLast="47" xr6:coauthVersionMax="47" xr10:uidLastSave="{2260D229-1C82-4BE6-9259-3D551B91D229}"/>
  <bookViews>
    <workbookView xWindow="-108" yWindow="-108" windowWidth="23256" windowHeight="12456" activeTab="3" xr2:uid="{829AA34C-4592-41A7-B2BC-7342A124F651}"/>
  </bookViews>
  <sheets>
    <sheet name="Client Data" sheetId="1" r:id="rId1"/>
    <sheet name="Properties" sheetId="2" r:id="rId2"/>
    <sheet name="Deal data" sheetId="3" r:id="rId3"/>
    <sheet name="Summary &amp; Calculation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6" l="1"/>
  <c r="Y3" i="6"/>
  <c r="T3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2" i="3"/>
  <c r="L15" i="3"/>
  <c r="L10" i="3"/>
  <c r="L12" i="3"/>
  <c r="L14" i="3"/>
  <c r="L17" i="3"/>
  <c r="L19" i="3"/>
  <c r="L20" i="3"/>
  <c r="L22" i="3"/>
  <c r="L24" i="3"/>
  <c r="L25" i="3"/>
  <c r="L27" i="3"/>
  <c r="L29" i="3"/>
  <c r="L30" i="3"/>
  <c r="L32" i="3"/>
  <c r="L34" i="3"/>
  <c r="L35" i="3"/>
  <c r="L37" i="3"/>
  <c r="L39" i="3"/>
  <c r="L40" i="3"/>
  <c r="B7" i="6"/>
  <c r="B3" i="6"/>
  <c r="B2" i="6"/>
  <c r="F3" i="6"/>
  <c r="K3" i="2"/>
  <c r="K4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2" i="2"/>
  <c r="P3" i="6"/>
  <c r="P4" i="6"/>
  <c r="T4" i="6"/>
  <c r="P5" i="6"/>
  <c r="T5" i="6"/>
  <c r="P6" i="6"/>
  <c r="T6" i="6"/>
  <c r="AC3" i="6"/>
  <c r="AE3" i="6"/>
  <c r="AC9" i="6"/>
  <c r="AE9" i="6"/>
  <c r="AC4" i="6"/>
  <c r="AE4" i="6"/>
  <c r="AC10" i="6"/>
  <c r="AE10" i="6"/>
  <c r="AC5" i="6"/>
  <c r="AE5" i="6"/>
  <c r="AC11" i="6"/>
  <c r="AC6" i="6"/>
  <c r="AE6" i="6"/>
  <c r="AC12" i="6"/>
  <c r="AE12" i="6"/>
  <c r="K6" i="6"/>
  <c r="K5" i="6"/>
  <c r="K4" i="6"/>
  <c r="F4" i="6"/>
  <c r="K3" i="6"/>
  <c r="F34" i="2"/>
  <c r="H34" i="2" s="1"/>
  <c r="H35" i="2"/>
  <c r="H36" i="2"/>
  <c r="H37" i="2"/>
  <c r="H38" i="2"/>
  <c r="H39" i="2"/>
  <c r="H40" i="2"/>
  <c r="H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" i="3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5" i="2"/>
  <c r="F36" i="2"/>
  <c r="F37" i="2"/>
  <c r="F38" i="2"/>
  <c r="F39" i="2"/>
  <c r="F40" i="2"/>
  <c r="F41" i="2"/>
  <c r="H41" i="2" s="1"/>
  <c r="F2" i="2"/>
  <c r="B4" i="6" l="1"/>
  <c r="B6" i="6" s="1"/>
  <c r="K5" i="2"/>
  <c r="L7" i="3"/>
  <c r="L9" i="3"/>
  <c r="L5" i="3"/>
  <c r="L4" i="3"/>
  <c r="L2" i="3"/>
</calcChain>
</file>

<file path=xl/sharedStrings.xml><?xml version="1.0" encoding="utf-8"?>
<sst xmlns="http://schemas.openxmlformats.org/spreadsheetml/2006/main" count="703" uniqueCount="304">
  <si>
    <t>Client ID</t>
  </si>
  <si>
    <t>Name</t>
  </si>
  <si>
    <t>Type</t>
  </si>
  <si>
    <t>Phone</t>
  </si>
  <si>
    <t>Min Budget</t>
  </si>
  <si>
    <t>Max Budget</t>
  </si>
  <si>
    <t>Status</t>
  </si>
  <si>
    <t>C-01</t>
  </si>
  <si>
    <t>James Wilson</t>
  </si>
  <si>
    <t>Buyer</t>
  </si>
  <si>
    <t>555-0101</t>
  </si>
  <si>
    <t>Active</t>
  </si>
  <si>
    <t>C-02</t>
  </si>
  <si>
    <t>Mary Thompson</t>
  </si>
  <si>
    <t>Tenant</t>
  </si>
  <si>
    <t>555-0102</t>
  </si>
  <si>
    <t>New</t>
  </si>
  <si>
    <t>C-03</t>
  </si>
  <si>
    <t>Robert Garcia</t>
  </si>
  <si>
    <t>555-0103</t>
  </si>
  <si>
    <t>Closed</t>
  </si>
  <si>
    <t>C-04</t>
  </si>
  <si>
    <t>Patricia Martinez</t>
  </si>
  <si>
    <t>555-0104</t>
  </si>
  <si>
    <t>C-05</t>
  </si>
  <si>
    <t>Michael Robinson</t>
  </si>
  <si>
    <t>555-0105</t>
  </si>
  <si>
    <t>C-06</t>
  </si>
  <si>
    <t>Linda Clark</t>
  </si>
  <si>
    <t>555-0106</t>
  </si>
  <si>
    <t>C-07</t>
  </si>
  <si>
    <t>William Rodriguez</t>
  </si>
  <si>
    <t>555-0107</t>
  </si>
  <si>
    <t>C-08</t>
  </si>
  <si>
    <t>Elizabeth Lewis</t>
  </si>
  <si>
    <t>555-0108</t>
  </si>
  <si>
    <t>C-09</t>
  </si>
  <si>
    <t>David Walker</t>
  </si>
  <si>
    <t>555-0109</t>
  </si>
  <si>
    <t>C-10</t>
  </si>
  <si>
    <t>Barbara Hall</t>
  </si>
  <si>
    <t>555-0110</t>
  </si>
  <si>
    <t>Inactive</t>
  </si>
  <si>
    <t>C-11</t>
  </si>
  <si>
    <t>Christopher Allen</t>
  </si>
  <si>
    <t>555-0111</t>
  </si>
  <si>
    <t>C-12</t>
  </si>
  <si>
    <t>Susan Young</t>
  </si>
  <si>
    <t>555-0112</t>
  </si>
  <si>
    <t>C-13</t>
  </si>
  <si>
    <t>Daniel Hernandez</t>
  </si>
  <si>
    <t>555-0113</t>
  </si>
  <si>
    <t>C-14</t>
  </si>
  <si>
    <t>Karen King</t>
  </si>
  <si>
    <t>555-0114</t>
  </si>
  <si>
    <t>C-15</t>
  </si>
  <si>
    <t>Matthew Wright</t>
  </si>
  <si>
    <t>555-0115</t>
  </si>
  <si>
    <t>C-16</t>
  </si>
  <si>
    <t>Nancy Lopez</t>
  </si>
  <si>
    <t>555-0116</t>
  </si>
  <si>
    <t>C-17</t>
  </si>
  <si>
    <t>Anthony Hill</t>
  </si>
  <si>
    <t>555-0117</t>
  </si>
  <si>
    <t>C-18</t>
  </si>
  <si>
    <t>Donna Scott</t>
  </si>
  <si>
    <t>555-0118</t>
  </si>
  <si>
    <t>C-19</t>
  </si>
  <si>
    <t>Joshua Green</t>
  </si>
  <si>
    <t>555-0119</t>
  </si>
  <si>
    <t>C-20</t>
  </si>
  <si>
    <t>Sarah Adams</t>
  </si>
  <si>
    <t>555-0120</t>
  </si>
  <si>
    <t>Listing</t>
  </si>
  <si>
    <t>Address</t>
  </si>
  <si>
    <t>Area (sqft)</t>
  </si>
  <si>
    <t>Price</t>
  </si>
  <si>
    <t>Agent</t>
  </si>
  <si>
    <t>P-01</t>
  </si>
  <si>
    <t>Apartment</t>
  </si>
  <si>
    <t>Sale</t>
  </si>
  <si>
    <t>12 Marina Dr</t>
  </si>
  <si>
    <t>Available</t>
  </si>
  <si>
    <t>Sarah J.</t>
  </si>
  <si>
    <t>P-02</t>
  </si>
  <si>
    <t>Villa</t>
  </si>
  <si>
    <t>Rent</t>
  </si>
  <si>
    <t>45 Sunset Blvd</t>
  </si>
  <si>
    <t>Mike R.</t>
  </si>
  <si>
    <t>P-03</t>
  </si>
  <si>
    <t>Commercial</t>
  </si>
  <si>
    <t>88 Biz Hub</t>
  </si>
  <si>
    <t>Sold</t>
  </si>
  <si>
    <t>David L.</t>
  </si>
  <si>
    <t>P-04</t>
  </si>
  <si>
    <t>Land</t>
  </si>
  <si>
    <t>Plot 7, Sector 5</t>
  </si>
  <si>
    <t>Emma W.</t>
  </si>
  <si>
    <t>P-05</t>
  </si>
  <si>
    <t>78 Sky Tower</t>
  </si>
  <si>
    <t>Rented</t>
  </si>
  <si>
    <t>P-06</t>
  </si>
  <si>
    <t>22 Palm Court</t>
  </si>
  <si>
    <t>Under Offer</t>
  </si>
  <si>
    <t>P-07</t>
  </si>
  <si>
    <t>34 City Center</t>
  </si>
  <si>
    <t>P-08</t>
  </si>
  <si>
    <t>Unit 4, Mall X</t>
  </si>
  <si>
    <t>P-09</t>
  </si>
  <si>
    <t>9 Rose Garden</t>
  </si>
  <si>
    <t>P-10</t>
  </si>
  <si>
    <t>56 North View</t>
  </si>
  <si>
    <t>P-11</t>
  </si>
  <si>
    <t>Hillside Plot 2</t>
  </si>
  <si>
    <t>P-12</t>
  </si>
  <si>
    <t>101 Lake View</t>
  </si>
  <si>
    <t>P-13</t>
  </si>
  <si>
    <t>67 Forest Run</t>
  </si>
  <si>
    <t>P-14</t>
  </si>
  <si>
    <t>90 Tech Park</t>
  </si>
  <si>
    <t>P-15</t>
  </si>
  <si>
    <t>23 Bridge St</t>
  </si>
  <si>
    <t>P-16</t>
  </si>
  <si>
    <t>11 Beach Road</t>
  </si>
  <si>
    <t>P-17</t>
  </si>
  <si>
    <t>South Farm 4</t>
  </si>
  <si>
    <t>P-18</t>
  </si>
  <si>
    <t>89 Metro Hub</t>
  </si>
  <si>
    <t>P-19</t>
  </si>
  <si>
    <t>Suite 501, Tower</t>
  </si>
  <si>
    <t>P-20</t>
  </si>
  <si>
    <t>5 Valley Way</t>
  </si>
  <si>
    <t>P-21</t>
  </si>
  <si>
    <t>14 River Walk</t>
  </si>
  <si>
    <t>P-22</t>
  </si>
  <si>
    <t>88 Hill Crest</t>
  </si>
  <si>
    <t>P-23</t>
  </si>
  <si>
    <t>Block C, Trade Zone</t>
  </si>
  <si>
    <t>P-24</t>
  </si>
  <si>
    <t>East Field 9</t>
  </si>
  <si>
    <t>P-25</t>
  </si>
  <si>
    <t>66 Pearl Heights</t>
  </si>
  <si>
    <t>P-26</t>
  </si>
  <si>
    <t>19 Royal Estate</t>
  </si>
  <si>
    <t>P-27</t>
  </si>
  <si>
    <t>Shop 12, Plaza</t>
  </si>
  <si>
    <t>P-28</t>
  </si>
  <si>
    <t>7 Downtown Ave</t>
  </si>
  <si>
    <t>P-29</t>
  </si>
  <si>
    <t>Green Acres Lot 5</t>
  </si>
  <si>
    <t>P-30</t>
  </si>
  <si>
    <t>42 Lake Road</t>
  </si>
  <si>
    <t>P-31</t>
  </si>
  <si>
    <t>91 Central Park</t>
  </si>
  <si>
    <t>P-32</t>
  </si>
  <si>
    <t>Innovation Block A</t>
  </si>
  <si>
    <t>P-33</t>
  </si>
  <si>
    <t>5 Silver Line</t>
  </si>
  <si>
    <t>P-34</t>
  </si>
  <si>
    <t>77 Mountain View</t>
  </si>
  <si>
    <t>P-35</t>
  </si>
  <si>
    <t>West Ridge Plot 8</t>
  </si>
  <si>
    <t>P-36</t>
  </si>
  <si>
    <t>Office 210, Axis</t>
  </si>
  <si>
    <t>P-37</t>
  </si>
  <si>
    <t>29 Oak Street</t>
  </si>
  <si>
    <t>P-38</t>
  </si>
  <si>
    <t>3 Ocean Drive</t>
  </si>
  <si>
    <t>P-39</t>
  </si>
  <si>
    <t>Metro Business Sq</t>
  </si>
  <si>
    <t>P-40</t>
  </si>
  <si>
    <t>18 Sunrise Lane</t>
  </si>
  <si>
    <t>Deal ID</t>
  </si>
  <si>
    <t>Deal Value</t>
  </si>
  <si>
    <t>D-01</t>
  </si>
  <si>
    <t>D-02</t>
  </si>
  <si>
    <t>D-03</t>
  </si>
  <si>
    <t>Pending</t>
  </si>
  <si>
    <t>D-04</t>
  </si>
  <si>
    <t>D-05</t>
  </si>
  <si>
    <t>D-06</t>
  </si>
  <si>
    <t>D-07</t>
  </si>
  <si>
    <t>C-21</t>
  </si>
  <si>
    <t>D-08</t>
  </si>
  <si>
    <t>D-09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</si>
  <si>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</si>
  <si>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</si>
  <si>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</si>
  <si>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</si>
  <si>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</si>
  <si>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</si>
  <si>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</si>
  <si>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</si>
  <si>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</si>
  <si>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</si>
  <si>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</si>
  <si>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</si>
  <si>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</si>
  <si>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</si>
  <si>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</si>
  <si>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C-22</t>
  </si>
  <si>
    <t>D-25</t>
  </si>
  <si>
    <t>C-23</t>
  </si>
  <si>
    <t>D-26</t>
  </si>
  <si>
    <t>C-24</t>
  </si>
  <si>
    <t>D-27</t>
  </si>
  <si>
    <t>C-25</t>
  </si>
  <si>
    <t>D-28</t>
  </si>
  <si>
    <t>C-26</t>
  </si>
  <si>
    <t>D-29</t>
  </si>
  <si>
    <t>C-27</t>
  </si>
  <si>
    <t>D-30</t>
  </si>
  <si>
    <t>C-28</t>
  </si>
  <si>
    <t>D-31</t>
  </si>
  <si>
    <t>C-29</t>
  </si>
  <si>
    <t>D-32</t>
  </si>
  <si>
    <t>C-30</t>
  </si>
  <si>
    <t>D-33</t>
  </si>
  <si>
    <t>C-31</t>
  </si>
  <si>
    <t>D-34</t>
  </si>
  <si>
    <t>C-32</t>
  </si>
  <si>
    <t>D-35</t>
  </si>
  <si>
    <t>C-33</t>
  </si>
  <si>
    <t>D-36</t>
  </si>
  <si>
    <t>C-34</t>
  </si>
  <si>
    <t>D-37</t>
  </si>
  <si>
    <t>C-35</t>
  </si>
  <si>
    <t>D-38</t>
  </si>
  <si>
    <t>C-36</t>
  </si>
  <si>
    <t>D-39</t>
  </si>
  <si>
    <t>C-37</t>
  </si>
  <si>
    <t>D-40</t>
  </si>
  <si>
    <t>C-38</t>
  </si>
  <si>
    <r>
      <t>Total</t>
    </r>
    <r>
      <rPr>
        <b/>
        <sz val="10"/>
        <color theme="1"/>
        <rFont val="Times New Roman"/>
        <family val="1"/>
      </rPr>
      <t xml:space="preserve"> 
(Type of client)</t>
    </r>
  </si>
  <si>
    <t>Property ID</t>
  </si>
  <si>
    <r>
      <rPr>
        <b/>
        <sz val="12"/>
        <color theme="1"/>
        <rFont val="Times New Roman"/>
        <family val="1"/>
      </rPr>
      <t>Total</t>
    </r>
    <r>
      <rPr>
        <b/>
        <sz val="11"/>
        <color theme="1"/>
        <rFont val="Times New Roman"/>
        <family val="1"/>
      </rPr>
      <t xml:space="preserve">
(Type of Property)</t>
    </r>
  </si>
  <si>
    <t>Avaiable</t>
  </si>
  <si>
    <t>Profit in Figures</t>
  </si>
  <si>
    <t>Commission %</t>
  </si>
  <si>
    <t>Gross Commission</t>
  </si>
  <si>
    <t>Metric</t>
  </si>
  <si>
    <t>Calculation</t>
  </si>
  <si>
    <t>Total Sales Value</t>
  </si>
  <si>
    <t>Total Rental Value</t>
  </si>
  <si>
    <t>Total Gross Commission</t>
  </si>
  <si>
    <t>Operational Expenses</t>
  </si>
  <si>
    <t>Net Profit</t>
  </si>
  <si>
    <t>Apartment Status</t>
  </si>
  <si>
    <t>Villa Status</t>
  </si>
  <si>
    <t>Commercial Status</t>
  </si>
  <si>
    <t>Land Status</t>
  </si>
  <si>
    <t>NIL</t>
  </si>
  <si>
    <t>Property Category</t>
  </si>
  <si>
    <t>Average Deal Value</t>
  </si>
  <si>
    <t xml:space="preserve">       </t>
  </si>
  <si>
    <t>Payment Mode</t>
  </si>
  <si>
    <t>Loan Amount</t>
  </si>
  <si>
    <t>EMI</t>
  </si>
  <si>
    <t>Deal Status</t>
  </si>
  <si>
    <t>Mortgage</t>
  </si>
  <si>
    <t>Cash</t>
  </si>
  <si>
    <t>Completed</t>
  </si>
  <si>
    <t xml:space="preserve">                      </t>
  </si>
  <si>
    <t>Interest Rate</t>
  </si>
  <si>
    <t>Duration
(Years)</t>
  </si>
  <si>
    <t>Payment Mode
(Status)</t>
  </si>
  <si>
    <t>$17,010</t>
  </si>
  <si>
    <t>$8,123</t>
  </si>
  <si>
    <t>$42,750</t>
  </si>
  <si>
    <t>$34,020</t>
  </si>
  <si>
    <t>$7,125</t>
  </si>
  <si>
    <t>$9,720</t>
  </si>
  <si>
    <t>$28,350</t>
  </si>
  <si>
    <t>$85,500</t>
  </si>
  <si>
    <t>$8,910</t>
  </si>
  <si>
    <t>$12,150</t>
  </si>
  <si>
    <t>$11,535</t>
  </si>
  <si>
    <t>$128,250</t>
  </si>
  <si>
    <t>$8,550</t>
  </si>
  <si>
    <t>$44,550</t>
  </si>
  <si>
    <t>$45,000</t>
  </si>
  <si>
    <t>$7,268</t>
  </si>
  <si>
    <t>$202,500</t>
  </si>
  <si>
    <t>$38,220</t>
  </si>
  <si>
    <t>$10,688</t>
  </si>
  <si>
    <t>$10,900</t>
  </si>
  <si>
    <t>$9,050</t>
  </si>
  <si>
    <t>$9,900</t>
  </si>
  <si>
    <t>$28,600</t>
  </si>
  <si>
    <t>$17,200</t>
  </si>
  <si>
    <t>$34,300</t>
  </si>
  <si>
    <t>$86,000</t>
  </si>
  <si>
    <t>$8,250</t>
  </si>
  <si>
    <t>$43,200</t>
  </si>
  <si>
    <t>$7,250</t>
  </si>
  <si>
    <t>$12,300</t>
  </si>
  <si>
    <t>$11,700</t>
  </si>
  <si>
    <t>$128,800</t>
  </si>
  <si>
    <t>$8,700</t>
  </si>
  <si>
    <t>$7,400</t>
  </si>
  <si>
    <t>$203,000</t>
  </si>
  <si>
    <t>$38,500</t>
  </si>
  <si>
    <r>
      <t xml:space="preserve">Total
</t>
    </r>
    <r>
      <rPr>
        <b/>
        <sz val="10"/>
        <color theme="1"/>
        <rFont val="Times New Roman"/>
        <family val="1"/>
      </rPr>
      <t>(Status of Client)</t>
    </r>
  </si>
  <si>
    <t>Total
(Status of Properties)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</si>
</sst>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C09]#,##0;[Red][$$-C09]#,##0"/>
    <numFmt numFmtId="165" formatCode="[$$-C09]#,##0.00"/>
    <numFmt numFmtId="166" formatCode="[$$-C09]#,##0"/>
    <numFmt numFmtId="167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5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0" fillId="0" borderId="0" xfId="0" applyNumberFormat="1"/>
    <xf numFmtId="165" fontId="2" fillId="2" borderId="1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6" xfId="0" applyBorder="1"/>
    <xf numFmtId="165" fontId="2" fillId="3" borderId="7" xfId="0" applyNumberFormat="1" applyFont="1" applyFill="1" applyBorder="1" applyAlignment="1">
      <alignment horizontal="center" vertical="center" wrapText="1"/>
    </xf>
    <xf numFmtId="165" fontId="0" fillId="0" borderId="7" xfId="0" applyNumberFormat="1" applyBorder="1"/>
    <xf numFmtId="167" fontId="0" fillId="0" borderId="1" xfId="0" applyNumberFormat="1" applyBorder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53">
    <dxf>
      <fill>
        <patternFill>
          <bgColor theme="9" tint="0.79998168889431442"/>
        </patternFill>
      </fill>
    </dxf>
    <dxf>
      <fill>
        <patternFill>
          <bgColor rgb="FFCBFCFB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ill>
        <patternFill>
          <bgColor rgb="FFC0C0C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99CC"/>
        </patternFill>
      </fill>
    </dxf>
    <dxf>
      <fill>
        <patternFill>
          <bgColor rgb="FFFF9999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66"/>
        </patternFill>
      </fill>
    </dxf>
    <dxf>
      <fill>
        <patternFill>
          <bgColor rgb="FFFFCCFF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99CC"/>
        </patternFill>
      </fill>
    </dxf>
    <dxf>
      <fill>
        <patternFill>
          <bgColor rgb="FFADEBE8"/>
        </patternFill>
      </fill>
    </dxf>
    <dxf>
      <fill>
        <patternFill>
          <bgColor rgb="FFFFCCCC"/>
        </patternFill>
      </fill>
    </dxf>
    <dxf>
      <fill>
        <patternFill>
          <bgColor rgb="FF53DFAA"/>
        </patternFill>
      </fill>
    </dxf>
    <dxf>
      <fill>
        <patternFill>
          <bgColor rgb="FFCDFFCD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CBFCFB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AFCD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DFCF6D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C0C0C0"/>
      <color rgb="FFCCFFFF"/>
      <color rgb="FFCCFFCC"/>
      <color rgb="FFFFFFCC"/>
      <color rgb="FFFAFCD4"/>
      <color rgb="FFFF3300"/>
      <color rgb="FFFF9999"/>
      <color rgb="FFFFCCFF"/>
      <color rgb="FFCDFFCD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Type</a:t>
            </a:r>
            <a:r>
              <a:rPr lang="en-GB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Client</a:t>
            </a:r>
            <a:endParaRPr lang="en-GB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117132252325775"/>
          <c:y val="3.0637399707608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24037675571183406"/>
          <c:y val="0.1682821184718718"/>
          <c:w val="0.52330971740420562"/>
          <c:h val="0.7688351670082335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F0-450C-95B0-DEEC62019B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F0-450C-95B0-DEEC62019B7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&amp; Calculations'!$E$3:$E$4</c:f>
              <c:strCache>
                <c:ptCount val="2"/>
                <c:pt idx="0">
                  <c:v>Buyer</c:v>
                </c:pt>
                <c:pt idx="1">
                  <c:v>Tenant</c:v>
                </c:pt>
              </c:strCache>
            </c:strRef>
          </c:cat>
          <c:val>
            <c:numRef>
              <c:f>'Summary &amp; Calculations'!$F$3:$F$4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F0-450C-95B0-DEEC62019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29626881948684503"/>
          <c:y val="0.18311409493136746"/>
          <c:w val="0.44450790857954864"/>
          <c:h val="0.7001477036986821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A9-429E-873B-CDD1E7A6FE1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A9-429E-873B-CDD1E7A6FE1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A9-429E-873B-CDD1E7A6FE1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A9-429E-873B-CDD1E7A6FE1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&amp; Calculations'!$J$3:$J$6</c:f>
              <c:strCache>
                <c:ptCount val="4"/>
                <c:pt idx="0">
                  <c:v>Active</c:v>
                </c:pt>
                <c:pt idx="1">
                  <c:v>Inactive</c:v>
                </c:pt>
                <c:pt idx="2">
                  <c:v>New</c:v>
                </c:pt>
                <c:pt idx="3">
                  <c:v>Closed</c:v>
                </c:pt>
              </c:strCache>
            </c:strRef>
          </c:cat>
          <c:val>
            <c:numRef>
              <c:f>'Summary &amp; Calculations'!$K$3:$K$6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A9-429E-873B-CDD1E7A6F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Status</a:t>
            </a:r>
          </a:p>
        </c:rich>
      </c:tx>
      <c:layout>
        <c:manualLayout>
          <c:xMode val="edge"/>
          <c:yMode val="edge"/>
          <c:x val="4.7423076923076922E-2"/>
          <c:y val="3.3912003247007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24148501665890601"/>
          <c:y val="0.1902314814814815"/>
          <c:w val="0.52996299067523889"/>
          <c:h val="0.758842592592592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3-4F41-A937-7B8B334A1C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3-4F41-A937-7B8B334A1C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3-4F41-A937-7B8B334A1C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3-4F41-A937-7B8B334A1CA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&amp; Calculations'!$S$3:$S$6</c:f>
              <c:strCache>
                <c:ptCount val="4"/>
                <c:pt idx="0">
                  <c:v>Avaiable</c:v>
                </c:pt>
                <c:pt idx="1">
                  <c:v>Under Offer</c:v>
                </c:pt>
                <c:pt idx="2">
                  <c:v>Rented</c:v>
                </c:pt>
                <c:pt idx="3">
                  <c:v>Sold</c:v>
                </c:pt>
              </c:strCache>
            </c:strRef>
          </c:cat>
          <c:val>
            <c:numRef>
              <c:f>'Summary &amp; Calculations'!$T$3:$T$6</c:f>
              <c:numCache>
                <c:formatCode>General</c:formatCode>
                <c:ptCount val="4"/>
                <c:pt idx="0">
                  <c:v>23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23-4F41-A937-7B8B334A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Property</a:t>
            </a:r>
            <a:r>
              <a:rPr lang="en-GB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Inventory</a:t>
            </a:r>
            <a:endParaRPr lang="en-GB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7392123076028241E-2"/>
          <c:y val="0.195932382461701"/>
          <c:w val="0.88490704589904101"/>
          <c:h val="0.6396816285444511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158818097876247E-2"/>
                  <c:y val="-0.348652931854199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41067754342341"/>
                      <c:h val="0.133195236490842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588-48AD-ABA2-118F6BEB1BE7}"/>
                </c:ext>
              </c:extLst>
            </c:dLbl>
            <c:dLbl>
              <c:idx val="1"/>
              <c:layout>
                <c:manualLayout>
                  <c:x val="-9.2336103416436246E-3"/>
                  <c:y val="-0.253565768621236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88-48AD-ABA2-118F6BEB1BE7}"/>
                </c:ext>
              </c:extLst>
            </c:dLbl>
            <c:dLbl>
              <c:idx val="2"/>
              <c:layout>
                <c:manualLayout>
                  <c:x val="2.7700831024930747E-2"/>
                  <c:y val="-0.2430005282620180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38497611621263"/>
                      <c:h val="0.133195236490842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588-48AD-ABA2-118F6BEB1BE7}"/>
                </c:ext>
              </c:extLst>
            </c:dLbl>
            <c:dLbl>
              <c:idx val="3"/>
              <c:layout>
                <c:manualLayout>
                  <c:x val="4.6168051708218028E-3"/>
                  <c:y val="-0.158478605388272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64948633498377"/>
                      <c:h val="7.45989160229773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588-48AD-ABA2-118F6BEB1BE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&amp; Calculations'!$O$3:$O$6</c:f>
              <c:strCache>
                <c:ptCount val="4"/>
                <c:pt idx="0">
                  <c:v>Apartment</c:v>
                </c:pt>
                <c:pt idx="1">
                  <c:v>Villa</c:v>
                </c:pt>
                <c:pt idx="2">
                  <c:v>Commercial</c:v>
                </c:pt>
                <c:pt idx="3">
                  <c:v>Land</c:v>
                </c:pt>
              </c:strCache>
            </c:strRef>
          </c:cat>
          <c:val>
            <c:numRef>
              <c:f>'Summary &amp; Calculations'!$P$3:$P$6</c:f>
              <c:numCache>
                <c:formatCode>General</c:formatCode>
                <c:ptCount val="4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8-48AD-ABA2-118F6BEB1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3504"/>
        <c:axId val="9619664"/>
      </c:barChart>
      <c:catAx>
        <c:axId val="9623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9664"/>
        <c:crosses val="autoZero"/>
        <c:auto val="1"/>
        <c:lblAlgn val="ctr"/>
        <c:lblOffset val="100"/>
        <c:noMultiLvlLbl val="0"/>
      </c:catAx>
      <c:valAx>
        <c:axId val="96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62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Deal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(Status)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007567804024496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92-4AA9-8200-5AA37607DD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92-4AA9-8200-5AA37607DD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92-4AA9-8200-5AA37607DD0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&amp; Calculations'!$X$3:$X$5</c:f>
              <c:strCache>
                <c:ptCount val="2"/>
                <c:pt idx="0">
                  <c:v>Mortgage</c:v>
                </c:pt>
                <c:pt idx="1">
                  <c:v>Cash</c:v>
                </c:pt>
              </c:strCache>
            </c:strRef>
          </c:cat>
          <c:val>
            <c:numRef>
              <c:f>'Summary &amp; Calculations'!$Y$3:$Y$5</c:f>
              <c:numCache>
                <c:formatCode>General</c:formatCode>
                <c:ptCount val="3"/>
                <c:pt idx="0">
                  <c:v>24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7-4A6A-8897-6BEAC3EA1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7</xdr:row>
      <xdr:rowOff>15240</xdr:rowOff>
    </xdr:from>
    <xdr:to>
      <xdr:col>7</xdr:col>
      <xdr:colOff>175260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F2CB7-85E9-4FF3-BF93-00D45A68A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7</xdr:row>
      <xdr:rowOff>0</xdr:rowOff>
    </xdr:from>
    <xdr:to>
      <xdr:col>12</xdr:col>
      <xdr:colOff>121920</xdr:colOff>
      <xdr:row>20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F13CD6-CCEE-44E4-A645-2F61E8523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175260</xdr:colOff>
      <xdr:row>6</xdr:row>
      <xdr:rowOff>251460</xdr:rowOff>
    </xdr:from>
    <xdr:to>
      <xdr:col>21</xdr:col>
      <xdr:colOff>411480</xdr:colOff>
      <xdr:row>20</xdr:row>
      <xdr:rowOff>10020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C70D07-A7DA-4084-969B-971F4C76E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289560</xdr:colOff>
      <xdr:row>7</xdr:row>
      <xdr:rowOff>0</xdr:rowOff>
    </xdr:from>
    <xdr:to>
      <xdr:col>16</xdr:col>
      <xdr:colOff>601980</xdr:colOff>
      <xdr:row>20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8D4342-0852-DDFB-51C3-7C9D96D3D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548640</xdr:colOff>
      <xdr:row>6</xdr:row>
      <xdr:rowOff>243840</xdr:rowOff>
    </xdr:from>
    <xdr:to>
      <xdr:col>26</xdr:col>
      <xdr:colOff>68580</xdr:colOff>
      <xdr:row>20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F6D81B-4642-AFD2-A82E-5CBE62743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5728-B1E6-4A3A-8E2E-D5138ADA74CB}">
  <dimension ref="A1:I21"/>
  <sheetViews>
    <sheetView topLeftCell="A6" zoomScale="102" workbookViewId="0">
      <selection activeCell="L27" sqref="L27"/>
    </sheetView>
  </sheetViews>
  <sheetFormatPr defaultRowHeight="14.4" x14ac:dyDescent="0.3"/>
  <cols>
    <col min="1" max="1" width="10.21875" customWidth="1"/>
    <col min="2" max="2" width="16.6640625" customWidth="1"/>
    <col min="4" max="4" width="9.88671875" style="13" customWidth="1"/>
    <col min="5" max="5" width="13.21875" style="13" customWidth="1"/>
    <col min="6" max="6" width="14.109375" style="13" customWidth="1"/>
    <col min="9" max="9" width="10.33203125" customWidth="1"/>
    <col min="10" max="10" width="8.88671875" customWidth="1"/>
  </cols>
  <sheetData>
    <row r="1" spans="1:9" ht="25.8" customHeight="1" x14ac:dyDescent="0.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</row>
    <row r="2" spans="1:9" x14ac:dyDescent="0.3">
      <c r="A2" s="5" t="s">
        <v>7</v>
      </c>
      <c r="B2" s="5" t="s">
        <v>8</v>
      </c>
      <c r="C2" s="5" t="s">
        <v>9</v>
      </c>
      <c r="D2" s="10" t="s">
        <v>10</v>
      </c>
      <c r="E2" s="23" t="s">
        <v>271</v>
      </c>
      <c r="F2" s="23" t="s">
        <v>287</v>
      </c>
      <c r="G2" s="5" t="s">
        <v>11</v>
      </c>
    </row>
    <row r="3" spans="1:9" x14ac:dyDescent="0.3">
      <c r="A3" s="5" t="s">
        <v>12</v>
      </c>
      <c r="B3" s="5" t="s">
        <v>13</v>
      </c>
      <c r="C3" s="5" t="s">
        <v>14</v>
      </c>
      <c r="D3" s="10" t="s">
        <v>15</v>
      </c>
      <c r="E3" s="23" t="s">
        <v>272</v>
      </c>
      <c r="F3" s="23" t="s">
        <v>288</v>
      </c>
      <c r="G3" s="5" t="s">
        <v>16</v>
      </c>
    </row>
    <row r="4" spans="1:9" x14ac:dyDescent="0.3">
      <c r="A4" s="5" t="s">
        <v>17</v>
      </c>
      <c r="B4" s="5" t="s">
        <v>18</v>
      </c>
      <c r="C4" s="5" t="s">
        <v>9</v>
      </c>
      <c r="D4" s="10" t="s">
        <v>19</v>
      </c>
      <c r="E4" s="23" t="s">
        <v>266</v>
      </c>
      <c r="F4" s="23" t="s">
        <v>289</v>
      </c>
      <c r="G4" s="5" t="s">
        <v>11</v>
      </c>
    </row>
    <row r="5" spans="1:9" x14ac:dyDescent="0.3">
      <c r="A5" s="5" t="s">
        <v>21</v>
      </c>
      <c r="B5" s="5" t="s">
        <v>22</v>
      </c>
      <c r="C5" s="5" t="s">
        <v>14</v>
      </c>
      <c r="D5" s="10" t="s">
        <v>23</v>
      </c>
      <c r="E5" s="23" t="s">
        <v>269</v>
      </c>
      <c r="F5" s="23" t="s">
        <v>290</v>
      </c>
      <c r="G5" s="5" t="s">
        <v>20</v>
      </c>
    </row>
    <row r="6" spans="1:9" x14ac:dyDescent="0.3">
      <c r="A6" s="5" t="s">
        <v>24</v>
      </c>
      <c r="B6" s="5" t="s">
        <v>25</v>
      </c>
      <c r="C6" s="5" t="s">
        <v>9</v>
      </c>
      <c r="D6" s="10" t="s">
        <v>26</v>
      </c>
      <c r="E6" s="23" t="s">
        <v>273</v>
      </c>
      <c r="F6" s="23" t="s">
        <v>291</v>
      </c>
      <c r="G6" s="5" t="s">
        <v>16</v>
      </c>
    </row>
    <row r="7" spans="1:9" x14ac:dyDescent="0.3">
      <c r="A7" s="5" t="s">
        <v>27</v>
      </c>
      <c r="B7" s="5" t="s">
        <v>28</v>
      </c>
      <c r="C7" s="5" t="s">
        <v>14</v>
      </c>
      <c r="D7" s="10" t="s">
        <v>29</v>
      </c>
      <c r="E7" s="23" t="s">
        <v>267</v>
      </c>
      <c r="F7" s="23" t="s">
        <v>292</v>
      </c>
      <c r="G7" s="5" t="s">
        <v>20</v>
      </c>
    </row>
    <row r="8" spans="1:9" x14ac:dyDescent="0.3">
      <c r="A8" s="5" t="s">
        <v>30</v>
      </c>
      <c r="B8" s="5" t="s">
        <v>31</v>
      </c>
      <c r="C8" s="5" t="s">
        <v>9</v>
      </c>
      <c r="D8" s="10" t="s">
        <v>32</v>
      </c>
      <c r="E8" s="23" t="s">
        <v>268</v>
      </c>
      <c r="F8" s="23" t="s">
        <v>293</v>
      </c>
      <c r="G8" s="5" t="s">
        <v>11</v>
      </c>
    </row>
    <row r="9" spans="1:9" x14ac:dyDescent="0.3">
      <c r="A9" s="5" t="s">
        <v>33</v>
      </c>
      <c r="B9" s="5" t="s">
        <v>34</v>
      </c>
      <c r="C9" s="5" t="s">
        <v>14</v>
      </c>
      <c r="D9" s="10" t="s">
        <v>35</v>
      </c>
      <c r="E9" s="23" t="s">
        <v>270</v>
      </c>
      <c r="F9" s="23" t="s">
        <v>294</v>
      </c>
      <c r="G9" s="5" t="s">
        <v>16</v>
      </c>
    </row>
    <row r="10" spans="1:9" x14ac:dyDescent="0.3">
      <c r="A10" s="5" t="s">
        <v>36</v>
      </c>
      <c r="B10" s="5" t="s">
        <v>37</v>
      </c>
      <c r="C10" s="5" t="s">
        <v>9</v>
      </c>
      <c r="D10" s="10" t="s">
        <v>38</v>
      </c>
      <c r="E10" s="23" t="s">
        <v>274</v>
      </c>
      <c r="F10" s="23" t="s">
        <v>286</v>
      </c>
      <c r="G10" s="5" t="s">
        <v>11</v>
      </c>
    </row>
    <row r="11" spans="1:9" x14ac:dyDescent="0.3">
      <c r="A11" s="5" t="s">
        <v>39</v>
      </c>
      <c r="B11" s="5" t="s">
        <v>40</v>
      </c>
      <c r="C11" s="5" t="s">
        <v>14</v>
      </c>
      <c r="D11" s="10" t="s">
        <v>41</v>
      </c>
      <c r="E11" s="23" t="s">
        <v>275</v>
      </c>
      <c r="F11" s="23" t="s">
        <v>295</v>
      </c>
      <c r="G11" s="5" t="s">
        <v>42</v>
      </c>
    </row>
    <row r="12" spans="1:9" x14ac:dyDescent="0.3">
      <c r="A12" s="5" t="s">
        <v>43</v>
      </c>
      <c r="B12" s="5" t="s">
        <v>44</v>
      </c>
      <c r="C12" s="5" t="s">
        <v>9</v>
      </c>
      <c r="D12" s="10" t="s">
        <v>45</v>
      </c>
      <c r="E12" s="23" t="s">
        <v>276</v>
      </c>
      <c r="F12" s="23" t="s">
        <v>296</v>
      </c>
      <c r="G12" s="5" t="s">
        <v>16</v>
      </c>
    </row>
    <row r="13" spans="1:9" x14ac:dyDescent="0.3">
      <c r="A13" s="5" t="s">
        <v>46</v>
      </c>
      <c r="B13" s="5" t="s">
        <v>47</v>
      </c>
      <c r="C13" s="5" t="s">
        <v>14</v>
      </c>
      <c r="D13" s="10" t="s">
        <v>48</v>
      </c>
      <c r="E13" s="23" t="s">
        <v>277</v>
      </c>
      <c r="F13" s="23" t="s">
        <v>297</v>
      </c>
      <c r="G13" s="5" t="s">
        <v>11</v>
      </c>
    </row>
    <row r="14" spans="1:9" x14ac:dyDescent="0.3">
      <c r="A14" s="5" t="s">
        <v>49</v>
      </c>
      <c r="B14" s="5" t="s">
        <v>50</v>
      </c>
      <c r="C14" s="5" t="s">
        <v>9</v>
      </c>
      <c r="D14" s="10" t="s">
        <v>51</v>
      </c>
      <c r="E14" s="23" t="s">
        <v>278</v>
      </c>
      <c r="F14" s="23" t="s">
        <v>298</v>
      </c>
      <c r="G14" s="5" t="s">
        <v>20</v>
      </c>
      <c r="I14" t="s">
        <v>254</v>
      </c>
    </row>
    <row r="15" spans="1:9" x14ac:dyDescent="0.3">
      <c r="A15" s="5" t="s">
        <v>52</v>
      </c>
      <c r="B15" s="5" t="s">
        <v>53</v>
      </c>
      <c r="C15" s="5" t="s">
        <v>14</v>
      </c>
      <c r="D15" s="10" t="s">
        <v>54</v>
      </c>
      <c r="E15" s="23" t="s">
        <v>279</v>
      </c>
      <c r="F15" s="23" t="s">
        <v>280</v>
      </c>
      <c r="G15" s="5" t="s">
        <v>11</v>
      </c>
    </row>
    <row r="16" spans="1:9" x14ac:dyDescent="0.3">
      <c r="A16" s="5" t="s">
        <v>55</v>
      </c>
      <c r="B16" s="5" t="s">
        <v>56</v>
      </c>
      <c r="C16" s="5" t="s">
        <v>14</v>
      </c>
      <c r="D16" s="10" t="s">
        <v>57</v>
      </c>
      <c r="E16" s="23" t="s">
        <v>281</v>
      </c>
      <c r="F16" s="23" t="s">
        <v>299</v>
      </c>
      <c r="G16" s="5" t="s">
        <v>16</v>
      </c>
    </row>
    <row r="17" spans="1:7" x14ac:dyDescent="0.3">
      <c r="A17" s="5" t="s">
        <v>58</v>
      </c>
      <c r="B17" s="5" t="s">
        <v>59</v>
      </c>
      <c r="C17" s="5" t="s">
        <v>14</v>
      </c>
      <c r="D17" s="10" t="s">
        <v>60</v>
      </c>
      <c r="E17" s="23" t="s">
        <v>282</v>
      </c>
      <c r="F17" s="23" t="s">
        <v>300</v>
      </c>
      <c r="G17" s="5" t="s">
        <v>11</v>
      </c>
    </row>
    <row r="18" spans="1:7" x14ac:dyDescent="0.3">
      <c r="A18" s="5" t="s">
        <v>61</v>
      </c>
      <c r="B18" s="5" t="s">
        <v>62</v>
      </c>
      <c r="C18" s="5" t="s">
        <v>9</v>
      </c>
      <c r="D18" s="10" t="s">
        <v>63</v>
      </c>
      <c r="E18" s="23" t="s">
        <v>274</v>
      </c>
      <c r="F18" s="23" t="s">
        <v>286</v>
      </c>
      <c r="G18" s="5" t="s">
        <v>42</v>
      </c>
    </row>
    <row r="19" spans="1:7" x14ac:dyDescent="0.3">
      <c r="A19" s="5" t="s">
        <v>64</v>
      </c>
      <c r="B19" s="5" t="s">
        <v>65</v>
      </c>
      <c r="C19" s="5" t="s">
        <v>14</v>
      </c>
      <c r="D19" s="10" t="s">
        <v>66</v>
      </c>
      <c r="E19" s="23" t="s">
        <v>271</v>
      </c>
      <c r="F19" s="23" t="s">
        <v>287</v>
      </c>
      <c r="G19" s="5" t="s">
        <v>20</v>
      </c>
    </row>
    <row r="20" spans="1:7" x14ac:dyDescent="0.3">
      <c r="A20" s="5" t="s">
        <v>67</v>
      </c>
      <c r="B20" s="5" t="s">
        <v>68</v>
      </c>
      <c r="C20" s="5" t="s">
        <v>9</v>
      </c>
      <c r="D20" s="10" t="s">
        <v>69</v>
      </c>
      <c r="E20" s="23" t="s">
        <v>283</v>
      </c>
      <c r="F20" s="23" t="s">
        <v>301</v>
      </c>
      <c r="G20" s="5" t="s">
        <v>11</v>
      </c>
    </row>
    <row r="21" spans="1:7" x14ac:dyDescent="0.3">
      <c r="A21" s="5" t="s">
        <v>70</v>
      </c>
      <c r="B21" s="5" t="s">
        <v>71</v>
      </c>
      <c r="C21" s="5" t="s">
        <v>14</v>
      </c>
      <c r="D21" s="10" t="s">
        <v>72</v>
      </c>
      <c r="E21" s="23" t="s">
        <v>284</v>
      </c>
      <c r="F21" s="23" t="s">
        <v>285</v>
      </c>
      <c r="G21" s="5" t="s">
        <v>16</v>
      </c>
    </row>
  </sheetData>
  <conditionalFormatting sqref="C1:C1048576">
    <cfRule type="cellIs" dxfId="52" priority="4" operator="equal">
      <formula>"Tenant"</formula>
    </cfRule>
    <cfRule type="cellIs" dxfId="51" priority="7" operator="equal">
      <formula>"Buyer"</formula>
    </cfRule>
    <cfRule type="cellIs" dxfId="50" priority="8" operator="equal">
      <formula>"Tenant"</formula>
    </cfRule>
  </conditionalFormatting>
  <conditionalFormatting sqref="C2:C21">
    <cfRule type="cellIs" dxfId="49" priority="9" operator="equal">
      <formula>"Buyer"</formula>
    </cfRule>
    <cfRule type="cellIs" dxfId="48" priority="10" operator="equal">
      <formula>"Tenant"</formula>
    </cfRule>
    <cfRule type="cellIs" dxfId="47" priority="11" operator="equal">
      <formula>"Tenant"</formula>
    </cfRule>
    <cfRule type="cellIs" dxfId="46" priority="12" operator="equal">
      <formula>"Buyer"</formula>
    </cfRule>
  </conditionalFormatting>
  <conditionalFormatting sqref="G1:G1048576">
    <cfRule type="cellIs" dxfId="45" priority="1" operator="equal">
      <formula>"New"</formula>
    </cfRule>
    <cfRule type="cellIs" dxfId="44" priority="2" operator="equal">
      <formula>"Closed"</formula>
    </cfRule>
    <cfRule type="cellIs" dxfId="43" priority="3" operator="equal">
      <formula>"New"</formula>
    </cfRule>
    <cfRule type="cellIs" dxfId="42" priority="5" operator="equal">
      <formula>"Closed"</formula>
    </cfRule>
    <cfRule type="cellIs" dxfId="41" priority="6" operator="equal">
      <formula>"Closed:Inacive"</formula>
    </cfRule>
  </conditionalFormatting>
  <conditionalFormatting sqref="G2:G21">
    <cfRule type="cellIs" dxfId="40" priority="13" operator="equal">
      <formula>"Inactive"</formula>
    </cfRule>
    <cfRule type="cellIs" dxfId="39" priority="14" operator="equal">
      <formula>"Closed"</formula>
    </cfRule>
    <cfRule type="cellIs" dxfId="38" priority="15" operator="equal">
      <formula>"New"</formula>
    </cfRule>
    <cfRule type="cellIs" dxfId="37" priority="16" operator="equal">
      <formula>"Active"</formula>
    </cfRule>
  </conditionalFormatting>
  <dataValidations count="1">
    <dataValidation type="list" allowBlank="1" showInputMessage="1" showErrorMessage="1" sqref="G1:G1048576" xr:uid="{0A6D4142-46B3-4AD9-B210-DCC9E728F648}">
      <formula1>"Active,New,Closed,Inactive"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58D2-E734-4EE6-B0DB-B0875C223A12}">
  <dimension ref="A1:K43"/>
  <sheetViews>
    <sheetView zoomScale="94" workbookViewId="0">
      <selection activeCell="M19" sqref="M19"/>
    </sheetView>
  </sheetViews>
  <sheetFormatPr defaultRowHeight="14.4" x14ac:dyDescent="0.3"/>
  <cols>
    <col min="1" max="1" width="12.21875" customWidth="1"/>
    <col min="2" max="2" width="12" customWidth="1"/>
    <col min="4" max="4" width="17" customWidth="1"/>
    <col min="5" max="5" width="11.33203125" style="13" customWidth="1"/>
    <col min="6" max="6" width="12.5546875" style="13" customWidth="1"/>
    <col min="7" max="7" width="16" style="13" customWidth="1"/>
    <col min="8" max="8" width="13.44140625" style="13" customWidth="1"/>
    <col min="9" max="9" width="11.5546875" customWidth="1"/>
    <col min="10" max="10" width="9.5546875" customWidth="1"/>
    <col min="11" max="11" width="11.88671875" customWidth="1"/>
    <col min="12" max="12" width="11" customWidth="1"/>
    <col min="13" max="13" width="11.5546875" customWidth="1"/>
    <col min="14" max="14" width="10.6640625" customWidth="1"/>
    <col min="16" max="16" width="11.109375" customWidth="1"/>
    <col min="17" max="17" width="10.77734375" customWidth="1"/>
    <col min="18" max="18" width="10.6640625" customWidth="1"/>
  </cols>
  <sheetData>
    <row r="1" spans="1:11" ht="33" customHeight="1" x14ac:dyDescent="0.3">
      <c r="A1" s="6" t="s">
        <v>234</v>
      </c>
      <c r="B1" s="7" t="s">
        <v>2</v>
      </c>
      <c r="C1" s="6" t="s">
        <v>73</v>
      </c>
      <c r="D1" s="7" t="s">
        <v>74</v>
      </c>
      <c r="E1" s="11" t="s">
        <v>75</v>
      </c>
      <c r="F1" s="7" t="s">
        <v>76</v>
      </c>
      <c r="G1" s="11" t="s">
        <v>238</v>
      </c>
      <c r="H1" s="18" t="s">
        <v>237</v>
      </c>
      <c r="I1" s="8" t="s">
        <v>6</v>
      </c>
      <c r="J1" s="4" t="s">
        <v>77</v>
      </c>
      <c r="K1" s="8" t="s">
        <v>252</v>
      </c>
    </row>
    <row r="2" spans="1:11" x14ac:dyDescent="0.3">
      <c r="A2" s="5" t="s">
        <v>78</v>
      </c>
      <c r="B2" s="5" t="s">
        <v>79</v>
      </c>
      <c r="C2" s="5" t="s">
        <v>80</v>
      </c>
      <c r="D2" s="5" t="s">
        <v>81</v>
      </c>
      <c r="E2" s="10">
        <v>1200</v>
      </c>
      <c r="F2" s="19">
        <f>E2*9</f>
        <v>10800</v>
      </c>
      <c r="G2" s="20">
        <v>0.03</v>
      </c>
      <c r="H2" s="21">
        <f>F2*G2</f>
        <v>324</v>
      </c>
      <c r="I2" s="5" t="s">
        <v>82</v>
      </c>
      <c r="J2" s="5" t="s">
        <v>83</v>
      </c>
      <c r="K2" s="9" t="str">
        <f>IF(F2 &gt; 100000, "Luxury", "Standard")</f>
        <v>Standard</v>
      </c>
    </row>
    <row r="3" spans="1:11" x14ac:dyDescent="0.3">
      <c r="A3" s="5" t="s">
        <v>84</v>
      </c>
      <c r="B3" s="5" t="s">
        <v>85</v>
      </c>
      <c r="C3" s="5" t="s">
        <v>86</v>
      </c>
      <c r="D3" s="5" t="s">
        <v>87</v>
      </c>
      <c r="E3" s="10">
        <v>3500</v>
      </c>
      <c r="F3" s="19">
        <f t="shared" ref="F3:F41" si="0">E3*9</f>
        <v>31500</v>
      </c>
      <c r="G3" s="20">
        <v>0.05</v>
      </c>
      <c r="H3" s="21">
        <f t="shared" ref="H3:H41" si="1">F3*G3</f>
        <v>1575</v>
      </c>
      <c r="I3" s="5" t="s">
        <v>82</v>
      </c>
      <c r="J3" s="5" t="s">
        <v>88</v>
      </c>
      <c r="K3" s="9" t="str">
        <f t="shared" ref="K3:K41" si="2">IF(F3 &gt; 100000, "Luxury", "Standard")</f>
        <v>Standard</v>
      </c>
    </row>
    <row r="4" spans="1:11" x14ac:dyDescent="0.3">
      <c r="A4" s="5" t="s">
        <v>89</v>
      </c>
      <c r="B4" s="5" t="s">
        <v>90</v>
      </c>
      <c r="C4" s="5" t="s">
        <v>80</v>
      </c>
      <c r="D4" s="5" t="s">
        <v>91</v>
      </c>
      <c r="E4" s="10">
        <v>2100</v>
      </c>
      <c r="F4" s="19">
        <f t="shared" si="0"/>
        <v>18900</v>
      </c>
      <c r="G4" s="20">
        <v>0.04</v>
      </c>
      <c r="H4" s="21">
        <f t="shared" si="1"/>
        <v>756</v>
      </c>
      <c r="I4" s="5" t="s">
        <v>92</v>
      </c>
      <c r="J4" s="5" t="s">
        <v>93</v>
      </c>
      <c r="K4" s="9" t="str">
        <f t="shared" si="2"/>
        <v>Standard</v>
      </c>
    </row>
    <row r="5" spans="1:11" x14ac:dyDescent="0.3">
      <c r="A5" s="5" t="s">
        <v>94</v>
      </c>
      <c r="B5" s="5" t="s">
        <v>95</v>
      </c>
      <c r="C5" s="5" t="s">
        <v>80</v>
      </c>
      <c r="D5" s="5" t="s">
        <v>96</v>
      </c>
      <c r="E5" s="10">
        <v>10000</v>
      </c>
      <c r="F5" s="19">
        <f t="shared" si="0"/>
        <v>90000</v>
      </c>
      <c r="G5" s="20">
        <v>0.05</v>
      </c>
      <c r="H5" s="21">
        <f t="shared" si="1"/>
        <v>4500</v>
      </c>
      <c r="I5" s="5" t="s">
        <v>82</v>
      </c>
      <c r="J5" s="5" t="s">
        <v>97</v>
      </c>
      <c r="K5" s="9" t="str">
        <f t="shared" si="2"/>
        <v>Standard</v>
      </c>
    </row>
    <row r="6" spans="1:11" x14ac:dyDescent="0.3">
      <c r="A6" s="5" t="s">
        <v>98</v>
      </c>
      <c r="B6" s="5" t="s">
        <v>79</v>
      </c>
      <c r="C6" s="5" t="s">
        <v>86</v>
      </c>
      <c r="D6" s="5" t="s">
        <v>99</v>
      </c>
      <c r="E6" s="10">
        <v>950</v>
      </c>
      <c r="F6" s="19">
        <f t="shared" si="0"/>
        <v>8550</v>
      </c>
      <c r="G6" s="20">
        <v>0.1</v>
      </c>
      <c r="H6" s="21">
        <f t="shared" si="1"/>
        <v>855</v>
      </c>
      <c r="I6" s="5" t="s">
        <v>100</v>
      </c>
      <c r="J6" s="5" t="s">
        <v>83</v>
      </c>
      <c r="K6" s="9" t="str">
        <f t="shared" si="2"/>
        <v>Standard</v>
      </c>
    </row>
    <row r="7" spans="1:11" x14ac:dyDescent="0.3">
      <c r="A7" s="5" t="s">
        <v>101</v>
      </c>
      <c r="B7" s="5" t="s">
        <v>85</v>
      </c>
      <c r="C7" s="5" t="s">
        <v>80</v>
      </c>
      <c r="D7" s="5" t="s">
        <v>102</v>
      </c>
      <c r="E7" s="10">
        <v>4200</v>
      </c>
      <c r="F7" s="19">
        <f t="shared" si="0"/>
        <v>37800</v>
      </c>
      <c r="G7" s="22">
        <v>2.5000000000000001E-2</v>
      </c>
      <c r="H7" s="21">
        <f t="shared" si="1"/>
        <v>945</v>
      </c>
      <c r="I7" s="5" t="s">
        <v>103</v>
      </c>
      <c r="J7" s="5" t="s">
        <v>88</v>
      </c>
      <c r="K7" s="9" t="str">
        <f t="shared" si="2"/>
        <v>Standard</v>
      </c>
    </row>
    <row r="8" spans="1:11" x14ac:dyDescent="0.3">
      <c r="A8" s="5" t="s">
        <v>104</v>
      </c>
      <c r="B8" s="5" t="s">
        <v>79</v>
      </c>
      <c r="C8" s="5" t="s">
        <v>80</v>
      </c>
      <c r="D8" s="5" t="s">
        <v>105</v>
      </c>
      <c r="E8" s="10">
        <v>1100</v>
      </c>
      <c r="F8" s="19">
        <f t="shared" si="0"/>
        <v>9900</v>
      </c>
      <c r="G8" s="20">
        <v>0.03</v>
      </c>
      <c r="H8" s="21">
        <f t="shared" si="1"/>
        <v>297</v>
      </c>
      <c r="I8" s="5" t="s">
        <v>82</v>
      </c>
      <c r="J8" s="5" t="s">
        <v>93</v>
      </c>
      <c r="K8" s="9" t="str">
        <f t="shared" si="2"/>
        <v>Standard</v>
      </c>
    </row>
    <row r="9" spans="1:11" x14ac:dyDescent="0.3">
      <c r="A9" s="5" t="s">
        <v>106</v>
      </c>
      <c r="B9" s="5" t="s">
        <v>90</v>
      </c>
      <c r="C9" s="5" t="s">
        <v>86</v>
      </c>
      <c r="D9" s="5" t="s">
        <v>107</v>
      </c>
      <c r="E9" s="10">
        <v>1500</v>
      </c>
      <c r="F9" s="19">
        <f t="shared" si="0"/>
        <v>13500</v>
      </c>
      <c r="G9" s="20">
        <v>0.1</v>
      </c>
      <c r="H9" s="21">
        <f t="shared" si="1"/>
        <v>1350</v>
      </c>
      <c r="I9" s="5" t="s">
        <v>103</v>
      </c>
      <c r="J9" s="5" t="s">
        <v>97</v>
      </c>
      <c r="K9" s="9" t="str">
        <f t="shared" si="2"/>
        <v>Standard</v>
      </c>
    </row>
    <row r="10" spans="1:11" x14ac:dyDescent="0.3">
      <c r="A10" s="5" t="s">
        <v>108</v>
      </c>
      <c r="B10" s="5" t="s">
        <v>85</v>
      </c>
      <c r="C10" s="5" t="s">
        <v>86</v>
      </c>
      <c r="D10" s="5" t="s">
        <v>109</v>
      </c>
      <c r="E10" s="10">
        <v>3800</v>
      </c>
      <c r="F10" s="19">
        <f t="shared" si="0"/>
        <v>34200</v>
      </c>
      <c r="G10" s="20">
        <v>0.05</v>
      </c>
      <c r="H10" s="21">
        <f t="shared" si="1"/>
        <v>1710</v>
      </c>
      <c r="I10" s="5" t="s">
        <v>100</v>
      </c>
      <c r="J10" s="5" t="s">
        <v>83</v>
      </c>
      <c r="K10" s="9" t="str">
        <f t="shared" si="2"/>
        <v>Standard</v>
      </c>
    </row>
    <row r="11" spans="1:11" x14ac:dyDescent="0.3">
      <c r="A11" s="5" t="s">
        <v>110</v>
      </c>
      <c r="B11" s="5" t="s">
        <v>79</v>
      </c>
      <c r="C11" s="5" t="s">
        <v>80</v>
      </c>
      <c r="D11" s="5" t="s">
        <v>111</v>
      </c>
      <c r="E11" s="10">
        <v>1350</v>
      </c>
      <c r="F11" s="19">
        <f t="shared" si="0"/>
        <v>12150</v>
      </c>
      <c r="G11" s="20">
        <v>0.03</v>
      </c>
      <c r="H11" s="21">
        <f t="shared" si="1"/>
        <v>364.5</v>
      </c>
      <c r="I11" s="5" t="s">
        <v>82</v>
      </c>
      <c r="J11" s="5" t="s">
        <v>88</v>
      </c>
      <c r="K11" s="9" t="str">
        <f t="shared" si="2"/>
        <v>Standard</v>
      </c>
    </row>
    <row r="12" spans="1:11" x14ac:dyDescent="0.3">
      <c r="A12" s="5" t="s">
        <v>112</v>
      </c>
      <c r="B12" s="5" t="s">
        <v>95</v>
      </c>
      <c r="C12" s="5" t="s">
        <v>80</v>
      </c>
      <c r="D12" s="5" t="s">
        <v>113</v>
      </c>
      <c r="E12" s="10">
        <v>15000</v>
      </c>
      <c r="F12" s="19">
        <f t="shared" si="0"/>
        <v>135000</v>
      </c>
      <c r="G12" s="20">
        <v>0.05</v>
      </c>
      <c r="H12" s="21">
        <f t="shared" si="1"/>
        <v>6750</v>
      </c>
      <c r="I12" s="5" t="s">
        <v>100</v>
      </c>
      <c r="J12" s="5" t="s">
        <v>93</v>
      </c>
      <c r="K12" s="9" t="str">
        <f t="shared" si="2"/>
        <v>Luxury</v>
      </c>
    </row>
    <row r="13" spans="1:11" x14ac:dyDescent="0.3">
      <c r="A13" s="5" t="s">
        <v>114</v>
      </c>
      <c r="B13" s="5" t="s">
        <v>79</v>
      </c>
      <c r="C13" s="5" t="s">
        <v>86</v>
      </c>
      <c r="D13" s="5" t="s">
        <v>115</v>
      </c>
      <c r="E13" s="10">
        <v>1000</v>
      </c>
      <c r="F13" s="19">
        <f t="shared" si="0"/>
        <v>9000</v>
      </c>
      <c r="G13" s="20">
        <v>0.1</v>
      </c>
      <c r="H13" s="21">
        <f t="shared" si="1"/>
        <v>900</v>
      </c>
      <c r="I13" s="5" t="s">
        <v>82</v>
      </c>
      <c r="J13" s="5" t="s">
        <v>97</v>
      </c>
      <c r="K13" s="9" t="str">
        <f t="shared" si="2"/>
        <v>Standard</v>
      </c>
    </row>
    <row r="14" spans="1:11" x14ac:dyDescent="0.3">
      <c r="A14" s="5" t="s">
        <v>116</v>
      </c>
      <c r="B14" s="5" t="s">
        <v>85</v>
      </c>
      <c r="C14" s="5" t="s">
        <v>80</v>
      </c>
      <c r="D14" s="5" t="s">
        <v>117</v>
      </c>
      <c r="E14" s="10">
        <v>5000</v>
      </c>
      <c r="F14" s="19">
        <f t="shared" si="0"/>
        <v>45000</v>
      </c>
      <c r="G14" s="20">
        <v>0.02</v>
      </c>
      <c r="H14" s="21">
        <f t="shared" si="1"/>
        <v>900</v>
      </c>
      <c r="I14" s="5" t="s">
        <v>92</v>
      </c>
      <c r="J14" s="5" t="s">
        <v>83</v>
      </c>
      <c r="K14" s="9" t="str">
        <f t="shared" si="2"/>
        <v>Standard</v>
      </c>
    </row>
    <row r="15" spans="1:11" x14ac:dyDescent="0.3">
      <c r="A15" s="5" t="s">
        <v>118</v>
      </c>
      <c r="B15" s="5" t="s">
        <v>90</v>
      </c>
      <c r="C15" s="5" t="s">
        <v>80</v>
      </c>
      <c r="D15" s="5" t="s">
        <v>119</v>
      </c>
      <c r="E15" s="10">
        <v>5500</v>
      </c>
      <c r="F15" s="19">
        <f t="shared" si="0"/>
        <v>49500</v>
      </c>
      <c r="G15" s="20">
        <v>0.02</v>
      </c>
      <c r="H15" s="21">
        <f t="shared" si="1"/>
        <v>990</v>
      </c>
      <c r="I15" s="5" t="s">
        <v>82</v>
      </c>
      <c r="J15" s="5" t="s">
        <v>88</v>
      </c>
      <c r="K15" s="9" t="str">
        <f t="shared" si="2"/>
        <v>Standard</v>
      </c>
    </row>
    <row r="16" spans="1:11" x14ac:dyDescent="0.3">
      <c r="A16" s="5" t="s">
        <v>120</v>
      </c>
      <c r="B16" s="5" t="s">
        <v>79</v>
      </c>
      <c r="C16" s="5" t="s">
        <v>80</v>
      </c>
      <c r="D16" s="5" t="s">
        <v>121</v>
      </c>
      <c r="E16" s="10">
        <v>850</v>
      </c>
      <c r="F16" s="19">
        <f t="shared" si="0"/>
        <v>7650</v>
      </c>
      <c r="G16" s="20">
        <v>0.03</v>
      </c>
      <c r="H16" s="21">
        <f t="shared" si="1"/>
        <v>229.5</v>
      </c>
      <c r="I16" s="5" t="s">
        <v>82</v>
      </c>
      <c r="J16" s="5" t="s">
        <v>93</v>
      </c>
      <c r="K16" s="9" t="str">
        <f t="shared" si="2"/>
        <v>Standard</v>
      </c>
    </row>
    <row r="17" spans="1:11" x14ac:dyDescent="0.3">
      <c r="A17" s="5" t="s">
        <v>122</v>
      </c>
      <c r="B17" s="5" t="s">
        <v>85</v>
      </c>
      <c r="C17" s="5" t="s">
        <v>86</v>
      </c>
      <c r="D17" s="5" t="s">
        <v>123</v>
      </c>
      <c r="E17" s="10">
        <v>3200</v>
      </c>
      <c r="F17" s="19">
        <f t="shared" si="0"/>
        <v>28800</v>
      </c>
      <c r="G17" s="20">
        <v>0.05</v>
      </c>
      <c r="H17" s="21">
        <f t="shared" si="1"/>
        <v>1440</v>
      </c>
      <c r="I17" s="5" t="s">
        <v>92</v>
      </c>
      <c r="J17" s="5" t="s">
        <v>97</v>
      </c>
      <c r="K17" s="9" t="str">
        <f t="shared" si="2"/>
        <v>Standard</v>
      </c>
    </row>
    <row r="18" spans="1:11" x14ac:dyDescent="0.3">
      <c r="A18" s="5" t="s">
        <v>124</v>
      </c>
      <c r="B18" s="5" t="s">
        <v>95</v>
      </c>
      <c r="C18" s="5" t="s">
        <v>80</v>
      </c>
      <c r="D18" s="5" t="s">
        <v>125</v>
      </c>
      <c r="E18" s="10">
        <v>25000</v>
      </c>
      <c r="F18" s="19">
        <f t="shared" si="0"/>
        <v>225000</v>
      </c>
      <c r="G18" s="20">
        <v>0.05</v>
      </c>
      <c r="H18" s="21">
        <f t="shared" si="1"/>
        <v>11250</v>
      </c>
      <c r="I18" s="5" t="s">
        <v>82</v>
      </c>
      <c r="J18" s="5" t="s">
        <v>83</v>
      </c>
      <c r="K18" s="9" t="str">
        <f t="shared" si="2"/>
        <v>Luxury</v>
      </c>
    </row>
    <row r="19" spans="1:11" x14ac:dyDescent="0.3">
      <c r="A19" s="5" t="s">
        <v>126</v>
      </c>
      <c r="B19" s="5" t="s">
        <v>79</v>
      </c>
      <c r="C19" s="5" t="s">
        <v>86</v>
      </c>
      <c r="D19" s="5" t="s">
        <v>127</v>
      </c>
      <c r="E19" s="10">
        <v>1100</v>
      </c>
      <c r="F19" s="19">
        <f t="shared" si="0"/>
        <v>9900</v>
      </c>
      <c r="G19" s="20">
        <v>0.1</v>
      </c>
      <c r="H19" s="21">
        <f t="shared" si="1"/>
        <v>990</v>
      </c>
      <c r="I19" s="5" t="s">
        <v>92</v>
      </c>
      <c r="J19" s="5" t="s">
        <v>88</v>
      </c>
      <c r="K19" s="9" t="str">
        <f t="shared" si="2"/>
        <v>Standard</v>
      </c>
    </row>
    <row r="20" spans="1:11" x14ac:dyDescent="0.3">
      <c r="A20" s="5" t="s">
        <v>128</v>
      </c>
      <c r="B20" s="5" t="s">
        <v>90</v>
      </c>
      <c r="C20" s="5" t="s">
        <v>86</v>
      </c>
      <c r="D20" s="5" t="s">
        <v>129</v>
      </c>
      <c r="E20" s="10">
        <v>1200</v>
      </c>
      <c r="F20" s="19">
        <f t="shared" si="0"/>
        <v>10800</v>
      </c>
      <c r="G20" s="20">
        <v>0.1</v>
      </c>
      <c r="H20" s="21">
        <f t="shared" si="1"/>
        <v>1080</v>
      </c>
      <c r="I20" s="5" t="s">
        <v>82</v>
      </c>
      <c r="J20" s="5" t="s">
        <v>93</v>
      </c>
      <c r="K20" s="9" t="str">
        <f t="shared" si="2"/>
        <v>Standard</v>
      </c>
    </row>
    <row r="21" spans="1:11" x14ac:dyDescent="0.3">
      <c r="A21" s="5" t="s">
        <v>130</v>
      </c>
      <c r="B21" s="5" t="s">
        <v>85</v>
      </c>
      <c r="C21" s="5" t="s">
        <v>80</v>
      </c>
      <c r="D21" s="5" t="s">
        <v>131</v>
      </c>
      <c r="E21" s="10">
        <v>4600</v>
      </c>
      <c r="F21" s="19">
        <f t="shared" si="0"/>
        <v>41400</v>
      </c>
      <c r="G21" s="20">
        <v>0.03</v>
      </c>
      <c r="H21" s="21">
        <f t="shared" si="1"/>
        <v>1242</v>
      </c>
      <c r="I21" s="5" t="s">
        <v>82</v>
      </c>
      <c r="J21" s="5" t="s">
        <v>97</v>
      </c>
      <c r="K21" s="9" t="str">
        <f t="shared" si="2"/>
        <v>Standard</v>
      </c>
    </row>
    <row r="22" spans="1:11" x14ac:dyDescent="0.3">
      <c r="A22" s="5" t="s">
        <v>132</v>
      </c>
      <c r="B22" s="5" t="s">
        <v>79</v>
      </c>
      <c r="C22" s="5" t="s">
        <v>80</v>
      </c>
      <c r="D22" s="5" t="s">
        <v>133</v>
      </c>
      <c r="E22" s="10">
        <v>1250</v>
      </c>
      <c r="F22" s="19">
        <f t="shared" si="0"/>
        <v>11250</v>
      </c>
      <c r="G22" s="20">
        <v>0.03</v>
      </c>
      <c r="H22" s="21">
        <f t="shared" si="1"/>
        <v>337.5</v>
      </c>
      <c r="I22" s="5" t="s">
        <v>92</v>
      </c>
      <c r="J22" s="5" t="s">
        <v>83</v>
      </c>
      <c r="K22" s="9" t="str">
        <f t="shared" si="2"/>
        <v>Standard</v>
      </c>
    </row>
    <row r="23" spans="1:11" x14ac:dyDescent="0.3">
      <c r="A23" s="5" t="s">
        <v>134</v>
      </c>
      <c r="B23" s="5" t="s">
        <v>85</v>
      </c>
      <c r="C23" s="5" t="s">
        <v>86</v>
      </c>
      <c r="D23" s="5" t="s">
        <v>135</v>
      </c>
      <c r="E23" s="10">
        <v>3600</v>
      </c>
      <c r="F23" s="19">
        <f t="shared" si="0"/>
        <v>32400</v>
      </c>
      <c r="G23" s="20">
        <v>0.05</v>
      </c>
      <c r="H23" s="21">
        <f t="shared" si="1"/>
        <v>1620</v>
      </c>
      <c r="I23" s="5" t="s">
        <v>82</v>
      </c>
      <c r="J23" s="5" t="s">
        <v>88</v>
      </c>
      <c r="K23" s="9" t="str">
        <f t="shared" si="2"/>
        <v>Standard</v>
      </c>
    </row>
    <row r="24" spans="1:11" x14ac:dyDescent="0.3">
      <c r="A24" s="5" t="s">
        <v>136</v>
      </c>
      <c r="B24" s="5" t="s">
        <v>90</v>
      </c>
      <c r="C24" s="5" t="s">
        <v>80</v>
      </c>
      <c r="D24" s="5" t="s">
        <v>137</v>
      </c>
      <c r="E24" s="10">
        <v>3000</v>
      </c>
      <c r="F24" s="19">
        <f t="shared" si="0"/>
        <v>27000</v>
      </c>
      <c r="G24" s="20">
        <v>0.04</v>
      </c>
      <c r="H24" s="21">
        <f t="shared" si="1"/>
        <v>1080</v>
      </c>
      <c r="I24" s="5" t="s">
        <v>103</v>
      </c>
      <c r="J24" s="5" t="s">
        <v>93</v>
      </c>
      <c r="K24" s="9" t="str">
        <f t="shared" si="2"/>
        <v>Standard</v>
      </c>
    </row>
    <row r="25" spans="1:11" x14ac:dyDescent="0.3">
      <c r="A25" s="5" t="s">
        <v>138</v>
      </c>
      <c r="B25" s="5" t="s">
        <v>95</v>
      </c>
      <c r="C25" s="5" t="s">
        <v>80</v>
      </c>
      <c r="D25" s="5" t="s">
        <v>139</v>
      </c>
      <c r="E25" s="10">
        <v>18000</v>
      </c>
      <c r="F25" s="19">
        <f t="shared" si="0"/>
        <v>162000</v>
      </c>
      <c r="G25" s="20">
        <v>0.05</v>
      </c>
      <c r="H25" s="21">
        <f t="shared" si="1"/>
        <v>8100</v>
      </c>
      <c r="I25" s="5" t="s">
        <v>82</v>
      </c>
      <c r="J25" s="5" t="s">
        <v>97</v>
      </c>
      <c r="K25" s="9" t="str">
        <f t="shared" si="2"/>
        <v>Luxury</v>
      </c>
    </row>
    <row r="26" spans="1:11" x14ac:dyDescent="0.3">
      <c r="A26" s="5" t="s">
        <v>140</v>
      </c>
      <c r="B26" s="5" t="s">
        <v>79</v>
      </c>
      <c r="C26" s="5" t="s">
        <v>86</v>
      </c>
      <c r="D26" s="5" t="s">
        <v>141</v>
      </c>
      <c r="E26" s="10">
        <v>900</v>
      </c>
      <c r="F26" s="19">
        <f t="shared" si="0"/>
        <v>8100</v>
      </c>
      <c r="G26" s="20">
        <v>0.1</v>
      </c>
      <c r="H26" s="21">
        <f t="shared" si="1"/>
        <v>810</v>
      </c>
      <c r="I26" s="5" t="s">
        <v>100</v>
      </c>
      <c r="J26" s="5" t="s">
        <v>83</v>
      </c>
      <c r="K26" s="9" t="str">
        <f t="shared" si="2"/>
        <v>Standard</v>
      </c>
    </row>
    <row r="27" spans="1:11" x14ac:dyDescent="0.3">
      <c r="A27" s="5" t="s">
        <v>142</v>
      </c>
      <c r="B27" s="5" t="s">
        <v>85</v>
      </c>
      <c r="C27" s="5" t="s">
        <v>80</v>
      </c>
      <c r="D27" s="5" t="s">
        <v>143</v>
      </c>
      <c r="E27" s="10">
        <v>4800</v>
      </c>
      <c r="F27" s="19">
        <f t="shared" si="0"/>
        <v>43200</v>
      </c>
      <c r="G27" s="22">
        <v>2.5000000000000001E-2</v>
      </c>
      <c r="H27" s="21">
        <f t="shared" si="1"/>
        <v>1080</v>
      </c>
      <c r="I27" s="5" t="s">
        <v>82</v>
      </c>
      <c r="J27" s="5" t="s">
        <v>88</v>
      </c>
      <c r="K27" s="9" t="str">
        <f t="shared" si="2"/>
        <v>Standard</v>
      </c>
    </row>
    <row r="28" spans="1:11" x14ac:dyDescent="0.3">
      <c r="A28" s="5" t="s">
        <v>144</v>
      </c>
      <c r="B28" s="5" t="s">
        <v>90</v>
      </c>
      <c r="C28" s="5" t="s">
        <v>86</v>
      </c>
      <c r="D28" s="5" t="s">
        <v>145</v>
      </c>
      <c r="E28" s="10">
        <v>1400</v>
      </c>
      <c r="F28" s="19">
        <f t="shared" si="0"/>
        <v>12600</v>
      </c>
      <c r="G28" s="20">
        <v>0.1</v>
      </c>
      <c r="H28" s="21">
        <f t="shared" si="1"/>
        <v>1260</v>
      </c>
      <c r="I28" s="5" t="s">
        <v>82</v>
      </c>
      <c r="J28" s="5" t="s">
        <v>93</v>
      </c>
      <c r="K28" s="9" t="str">
        <f t="shared" si="2"/>
        <v>Standard</v>
      </c>
    </row>
    <row r="29" spans="1:11" x14ac:dyDescent="0.3">
      <c r="A29" s="5" t="s">
        <v>146</v>
      </c>
      <c r="B29" s="5" t="s">
        <v>79</v>
      </c>
      <c r="C29" s="5" t="s">
        <v>80</v>
      </c>
      <c r="D29" s="5" t="s">
        <v>147</v>
      </c>
      <c r="E29" s="10">
        <v>1050</v>
      </c>
      <c r="F29" s="19">
        <f t="shared" si="0"/>
        <v>9450</v>
      </c>
      <c r="G29" s="20">
        <v>0.03</v>
      </c>
      <c r="H29" s="21">
        <f t="shared" si="1"/>
        <v>283.5</v>
      </c>
      <c r="I29" s="5" t="s">
        <v>82</v>
      </c>
      <c r="J29" s="5" t="s">
        <v>97</v>
      </c>
      <c r="K29" s="9" t="str">
        <f t="shared" si="2"/>
        <v>Standard</v>
      </c>
    </row>
    <row r="30" spans="1:11" x14ac:dyDescent="0.3">
      <c r="A30" s="5" t="s">
        <v>148</v>
      </c>
      <c r="B30" s="5" t="s">
        <v>95</v>
      </c>
      <c r="C30" s="5" t="s">
        <v>80</v>
      </c>
      <c r="D30" s="5" t="s">
        <v>149</v>
      </c>
      <c r="E30" s="10">
        <v>30000</v>
      </c>
      <c r="F30" s="19">
        <f t="shared" si="0"/>
        <v>270000</v>
      </c>
      <c r="G30" s="20">
        <v>0.05</v>
      </c>
      <c r="H30" s="21">
        <f t="shared" si="1"/>
        <v>13500</v>
      </c>
      <c r="I30" s="5" t="s">
        <v>82</v>
      </c>
      <c r="J30" s="5" t="s">
        <v>83</v>
      </c>
      <c r="K30" s="9" t="str">
        <f t="shared" si="2"/>
        <v>Luxury</v>
      </c>
    </row>
    <row r="31" spans="1:11" x14ac:dyDescent="0.3">
      <c r="A31" s="5" t="s">
        <v>150</v>
      </c>
      <c r="B31" s="5" t="s">
        <v>85</v>
      </c>
      <c r="C31" s="5" t="s">
        <v>86</v>
      </c>
      <c r="D31" s="5" t="s">
        <v>151</v>
      </c>
      <c r="E31" s="10">
        <v>3900</v>
      </c>
      <c r="F31" s="19">
        <f t="shared" si="0"/>
        <v>35100</v>
      </c>
      <c r="G31" s="20">
        <v>0.05</v>
      </c>
      <c r="H31" s="21">
        <f t="shared" si="1"/>
        <v>1755</v>
      </c>
      <c r="I31" s="5" t="s">
        <v>100</v>
      </c>
      <c r="J31" s="5" t="s">
        <v>88</v>
      </c>
      <c r="K31" s="9" t="str">
        <f t="shared" si="2"/>
        <v>Standard</v>
      </c>
    </row>
    <row r="32" spans="1:11" x14ac:dyDescent="0.3">
      <c r="A32" s="5" t="s">
        <v>152</v>
      </c>
      <c r="B32" s="5" t="s">
        <v>79</v>
      </c>
      <c r="C32" s="5" t="s">
        <v>80</v>
      </c>
      <c r="D32" s="5" t="s">
        <v>153</v>
      </c>
      <c r="E32" s="10">
        <v>1300</v>
      </c>
      <c r="F32" s="19">
        <f t="shared" si="0"/>
        <v>11700</v>
      </c>
      <c r="G32" s="20">
        <v>0.03</v>
      </c>
      <c r="H32" s="21">
        <f t="shared" si="1"/>
        <v>351</v>
      </c>
      <c r="I32" s="5" t="s">
        <v>82</v>
      </c>
      <c r="J32" s="5" t="s">
        <v>93</v>
      </c>
      <c r="K32" s="9" t="str">
        <f t="shared" si="2"/>
        <v>Standard</v>
      </c>
    </row>
    <row r="33" spans="1:11" x14ac:dyDescent="0.3">
      <c r="A33" s="5" t="s">
        <v>154</v>
      </c>
      <c r="B33" s="5" t="s">
        <v>90</v>
      </c>
      <c r="C33" s="5" t="s">
        <v>80</v>
      </c>
      <c r="D33" s="5" t="s">
        <v>155</v>
      </c>
      <c r="E33" s="10">
        <v>6200</v>
      </c>
      <c r="F33" s="19">
        <f t="shared" si="0"/>
        <v>55800</v>
      </c>
      <c r="G33" s="20">
        <v>0.02</v>
      </c>
      <c r="H33" s="21">
        <f t="shared" si="1"/>
        <v>1116</v>
      </c>
      <c r="I33" s="5" t="s">
        <v>92</v>
      </c>
      <c r="J33" s="5" t="s">
        <v>97</v>
      </c>
      <c r="K33" s="9" t="str">
        <f t="shared" si="2"/>
        <v>Standard</v>
      </c>
    </row>
    <row r="34" spans="1:11" x14ac:dyDescent="0.3">
      <c r="A34" s="5" t="s">
        <v>156</v>
      </c>
      <c r="B34" s="5" t="s">
        <v>79</v>
      </c>
      <c r="C34" s="5" t="s">
        <v>86</v>
      </c>
      <c r="D34" s="5" t="s">
        <v>157</v>
      </c>
      <c r="E34" s="10">
        <v>980</v>
      </c>
      <c r="F34" s="19">
        <f>E34*9</f>
        <v>8820</v>
      </c>
      <c r="G34" s="20">
        <v>0.1</v>
      </c>
      <c r="H34" s="21">
        <f t="shared" si="1"/>
        <v>882</v>
      </c>
      <c r="I34" s="5" t="s">
        <v>82</v>
      </c>
      <c r="J34" s="5" t="s">
        <v>83</v>
      </c>
      <c r="K34" s="9" t="str">
        <f t="shared" si="2"/>
        <v>Standard</v>
      </c>
    </row>
    <row r="35" spans="1:11" x14ac:dyDescent="0.3">
      <c r="A35" s="5" t="s">
        <v>158</v>
      </c>
      <c r="B35" s="5" t="s">
        <v>85</v>
      </c>
      <c r="C35" s="5" t="s">
        <v>80</v>
      </c>
      <c r="D35" s="5" t="s">
        <v>159</v>
      </c>
      <c r="E35" s="10">
        <v>5200</v>
      </c>
      <c r="F35" s="19">
        <f t="shared" si="0"/>
        <v>46800</v>
      </c>
      <c r="G35" s="20">
        <v>0.02</v>
      </c>
      <c r="H35" s="21">
        <f t="shared" si="1"/>
        <v>936</v>
      </c>
      <c r="I35" s="5" t="s">
        <v>92</v>
      </c>
      <c r="J35" s="5" t="s">
        <v>88</v>
      </c>
      <c r="K35" s="9" t="str">
        <f t="shared" si="2"/>
        <v>Standard</v>
      </c>
    </row>
    <row r="36" spans="1:11" x14ac:dyDescent="0.3">
      <c r="A36" s="5" t="s">
        <v>160</v>
      </c>
      <c r="B36" s="5" t="s">
        <v>95</v>
      </c>
      <c r="C36" s="5" t="s">
        <v>80</v>
      </c>
      <c r="D36" s="5" t="s">
        <v>161</v>
      </c>
      <c r="E36" s="10">
        <v>22000</v>
      </c>
      <c r="F36" s="19">
        <f t="shared" si="0"/>
        <v>198000</v>
      </c>
      <c r="G36" s="20">
        <v>0.05</v>
      </c>
      <c r="H36" s="21">
        <f t="shared" si="1"/>
        <v>9900</v>
      </c>
      <c r="I36" s="5" t="s">
        <v>82</v>
      </c>
      <c r="J36" s="5" t="s">
        <v>93</v>
      </c>
      <c r="K36" s="9" t="str">
        <f t="shared" si="2"/>
        <v>Luxury</v>
      </c>
    </row>
    <row r="37" spans="1:11" x14ac:dyDescent="0.3">
      <c r="A37" s="5" t="s">
        <v>162</v>
      </c>
      <c r="B37" s="5" t="s">
        <v>90</v>
      </c>
      <c r="C37" s="5" t="s">
        <v>86</v>
      </c>
      <c r="D37" s="5" t="s">
        <v>163</v>
      </c>
      <c r="E37" s="10">
        <v>1600</v>
      </c>
      <c r="F37" s="19">
        <f t="shared" si="0"/>
        <v>14400</v>
      </c>
      <c r="G37" s="20">
        <v>0.1</v>
      </c>
      <c r="H37" s="21">
        <f t="shared" si="1"/>
        <v>1440</v>
      </c>
      <c r="I37" s="5" t="s">
        <v>82</v>
      </c>
      <c r="J37" s="5" t="s">
        <v>97</v>
      </c>
      <c r="K37" s="9" t="str">
        <f t="shared" si="2"/>
        <v>Standard</v>
      </c>
    </row>
    <row r="38" spans="1:11" x14ac:dyDescent="0.3">
      <c r="A38" s="5" t="s">
        <v>164</v>
      </c>
      <c r="B38" s="5" t="s">
        <v>79</v>
      </c>
      <c r="C38" s="5" t="s">
        <v>80</v>
      </c>
      <c r="D38" s="5" t="s">
        <v>165</v>
      </c>
      <c r="E38" s="10">
        <v>1150</v>
      </c>
      <c r="F38" s="19">
        <f t="shared" si="0"/>
        <v>10350</v>
      </c>
      <c r="G38" s="20">
        <v>0.03</v>
      </c>
      <c r="H38" s="21">
        <f t="shared" si="1"/>
        <v>310.5</v>
      </c>
      <c r="I38" s="5" t="s">
        <v>92</v>
      </c>
      <c r="J38" s="5" t="s">
        <v>83</v>
      </c>
      <c r="K38" s="9" t="str">
        <f t="shared" si="2"/>
        <v>Standard</v>
      </c>
    </row>
    <row r="39" spans="1:11" x14ac:dyDescent="0.3">
      <c r="A39" s="5" t="s">
        <v>166</v>
      </c>
      <c r="B39" s="5" t="s">
        <v>85</v>
      </c>
      <c r="C39" s="5" t="s">
        <v>86</v>
      </c>
      <c r="D39" s="5" t="s">
        <v>167</v>
      </c>
      <c r="E39" s="10">
        <v>4100</v>
      </c>
      <c r="F39" s="19">
        <f t="shared" si="0"/>
        <v>36900</v>
      </c>
      <c r="G39" s="20">
        <v>0.05</v>
      </c>
      <c r="H39" s="21">
        <f t="shared" si="1"/>
        <v>1845</v>
      </c>
      <c r="I39" s="5" t="s">
        <v>82</v>
      </c>
      <c r="J39" s="5" t="s">
        <v>88</v>
      </c>
      <c r="K39" s="9" t="str">
        <f t="shared" si="2"/>
        <v>Standard</v>
      </c>
    </row>
    <row r="40" spans="1:11" x14ac:dyDescent="0.3">
      <c r="A40" s="5" t="s">
        <v>168</v>
      </c>
      <c r="B40" s="5" t="s">
        <v>90</v>
      </c>
      <c r="C40" s="5" t="s">
        <v>80</v>
      </c>
      <c r="D40" s="5" t="s">
        <v>169</v>
      </c>
      <c r="E40" s="10">
        <v>4800</v>
      </c>
      <c r="F40" s="19">
        <f t="shared" si="0"/>
        <v>43200</v>
      </c>
      <c r="G40" s="20">
        <v>0.03</v>
      </c>
      <c r="H40" s="21">
        <f t="shared" si="1"/>
        <v>1296</v>
      </c>
      <c r="I40" s="5" t="s">
        <v>103</v>
      </c>
      <c r="J40" s="5" t="s">
        <v>93</v>
      </c>
      <c r="K40" s="9" t="str">
        <f t="shared" si="2"/>
        <v>Standard</v>
      </c>
    </row>
    <row r="41" spans="1:11" x14ac:dyDescent="0.3">
      <c r="A41" s="5" t="s">
        <v>170</v>
      </c>
      <c r="B41" s="5" t="s">
        <v>79</v>
      </c>
      <c r="C41" s="5" t="s">
        <v>80</v>
      </c>
      <c r="D41" s="5" t="s">
        <v>171</v>
      </c>
      <c r="E41" s="10">
        <v>1400</v>
      </c>
      <c r="F41" s="19">
        <f t="shared" si="0"/>
        <v>12600</v>
      </c>
      <c r="G41" s="20">
        <v>0.03</v>
      </c>
      <c r="H41" s="21">
        <f t="shared" si="1"/>
        <v>378</v>
      </c>
      <c r="I41" s="5" t="s">
        <v>82</v>
      </c>
      <c r="J41" s="5" t="s">
        <v>97</v>
      </c>
      <c r="K41" s="9" t="str">
        <f t="shared" si="2"/>
        <v>Standard</v>
      </c>
    </row>
    <row r="42" spans="1:11" x14ac:dyDescent="0.3">
      <c r="F42" s="12"/>
    </row>
    <row r="43" spans="1:11" x14ac:dyDescent="0.3">
      <c r="F43" s="12"/>
    </row>
  </sheetData>
  <conditionalFormatting sqref="B1:B1048576">
    <cfRule type="cellIs" dxfId="36" priority="9" operator="equal">
      <formula>"Villa"</formula>
    </cfRule>
    <cfRule type="cellIs" dxfId="35" priority="10" operator="equal">
      <formula>"Commercial"</formula>
    </cfRule>
    <cfRule type="cellIs" dxfId="34" priority="11" operator="equal">
      <formula>"Commercial "</formula>
    </cfRule>
    <cfRule type="cellIs" dxfId="33" priority="12" operator="equal">
      <formula>"Apartment"</formula>
    </cfRule>
    <cfRule type="cellIs" dxfId="32" priority="13" operator="equal">
      <formula>"Land"</formula>
    </cfRule>
  </conditionalFormatting>
  <conditionalFormatting sqref="B2:B41">
    <cfRule type="cellIs" dxfId="31" priority="19" operator="equal">
      <formula>"Land"</formula>
    </cfRule>
    <cfRule type="cellIs" dxfId="30" priority="21" operator="equal">
      <formula>"Villa"</formula>
    </cfRule>
    <cfRule type="cellIs" dxfId="29" priority="22" operator="equal">
      <formula>"Commercial"</formula>
    </cfRule>
    <cfRule type="cellIs" dxfId="28" priority="24" operator="equal">
      <formula>"Apartment"</formula>
    </cfRule>
  </conditionalFormatting>
  <conditionalFormatting sqref="B2:B43">
    <cfRule type="cellIs" dxfId="27" priority="20" operator="equal">
      <formula>"Villa"</formula>
    </cfRule>
  </conditionalFormatting>
  <conditionalFormatting sqref="C1:C1048576">
    <cfRule type="cellIs" dxfId="26" priority="7" operator="equal">
      <formula>"Rent"</formula>
    </cfRule>
    <cfRule type="cellIs" dxfId="25" priority="8" operator="equal">
      <formula>"Sale"</formula>
    </cfRule>
  </conditionalFormatting>
  <conditionalFormatting sqref="C2:C41">
    <cfRule type="cellIs" dxfId="24" priority="26" operator="equal">
      <formula>"Sale"</formula>
    </cfRule>
    <cfRule type="iconSet" priority="28">
      <iconSet iconSet="3Symbols2">
        <cfvo type="percent" val="0"/>
        <cfvo type="percent" val="33"/>
        <cfvo type="percent" val="67"/>
      </iconSet>
    </cfRule>
    <cfRule type="cellIs" dxfId="23" priority="29" operator="equal">
      <formula>"Rent"</formula>
    </cfRule>
    <cfRule type="cellIs" dxfId="22" priority="30" operator="equal">
      <formula>"Sale"</formula>
    </cfRule>
  </conditionalFormatting>
  <conditionalFormatting sqref="C2:C43">
    <cfRule type="cellIs" dxfId="21" priority="25" operator="equal">
      <formula>"Rent"</formula>
    </cfRule>
  </conditionalFormatting>
  <conditionalFormatting sqref="I1:I1048576">
    <cfRule type="cellIs" dxfId="20" priority="3" operator="equal">
      <formula>"Rented"</formula>
    </cfRule>
    <cfRule type="cellIs" dxfId="19" priority="4" operator="equal">
      <formula>"Under Offer"</formula>
    </cfRule>
    <cfRule type="cellIs" dxfId="18" priority="5" operator="equal">
      <formula>"Sold"</formula>
    </cfRule>
    <cfRule type="cellIs" dxfId="17" priority="6" operator="equal">
      <formula>"Available"</formula>
    </cfRule>
  </conditionalFormatting>
  <conditionalFormatting sqref="I2:I41">
    <cfRule type="cellIs" dxfId="16" priority="14" operator="equal">
      <formula>"Under Offer"</formula>
    </cfRule>
    <cfRule type="cellIs" dxfId="15" priority="15" operator="equal">
      <formula>"Under Offer"</formula>
    </cfRule>
    <cfRule type="cellIs" dxfId="14" priority="16" operator="equal">
      <formula>"Rented"</formula>
    </cfRule>
    <cfRule type="cellIs" dxfId="13" priority="17" operator="equal">
      <formula>"Sold"</formula>
    </cfRule>
    <cfRule type="cellIs" dxfId="12" priority="18" operator="equal">
      <formula>"Available"</formula>
    </cfRule>
  </conditionalFormatting>
  <conditionalFormatting sqref="K1:K1048576">
    <cfRule type="cellIs" dxfId="11" priority="1" operator="equal">
      <formula>"Luxury"</formula>
    </cfRule>
    <cfRule type="cellIs" dxfId="10" priority="2" operator="equal">
      <formula>"Standard"</formula>
    </cfRule>
  </conditionalFormatting>
  <conditionalFormatting sqref="L32">
    <cfRule type="colorScale" priority="27">
      <colorScale>
        <cfvo type="min"/>
        <cfvo type="max"/>
        <color rgb="FF63BE7B"/>
        <color rgb="FFFCFCFF"/>
      </colorScale>
    </cfRule>
  </conditionalFormatting>
  <dataValidations count="2">
    <dataValidation type="list" allowBlank="1" showInputMessage="1" showErrorMessage="1" sqref="I1:I1048576" xr:uid="{0A20E17A-CE77-4699-8873-3D996DB5A0F4}">
      <formula1>"Available, Sold, Rented, Under Offer"</formula1>
    </dataValidation>
    <dataValidation type="list" allowBlank="1" showInputMessage="1" showErrorMessage="1" sqref="C1:C1048576" xr:uid="{88C07E6D-0197-4A95-A5D9-750D66F187DC}">
      <formula1>"Sale,Rent"</formula1>
    </dataValidation>
  </dataValidation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18F6-2675-4368-99EB-15B45EA6B94A}">
  <sheetPr>
    <pageSetUpPr autoPageBreaks="0"/>
  </sheetPr>
  <dimension ref="A1:O362"/>
  <sheetViews>
    <sheetView zoomScaleNormal="100" workbookViewId="0">
      <selection activeCell="N9" sqref="N9"/>
    </sheetView>
  </sheetViews>
  <sheetFormatPr defaultRowHeight="14.4" x14ac:dyDescent="0.3"/>
  <cols>
    <col min="1" max="1" width="8.77734375" customWidth="1"/>
    <col min="2" max="2" width="12.44140625" customWidth="1"/>
    <col min="3" max="3" width="13.21875" customWidth="1"/>
    <col min="4" max="4" width="12.21875" customWidth="1"/>
    <col min="5" max="5" width="12" style="13" customWidth="1"/>
    <col min="6" max="6" width="16.21875" style="13" customWidth="1"/>
    <col min="7" max="7" width="16.44140625" style="13" customWidth="1"/>
    <col min="8" max="8" width="13.6640625" customWidth="1"/>
    <col min="9" max="9" width="14.44140625" style="25" customWidth="1"/>
    <col min="10" max="11" width="14.44140625" customWidth="1"/>
    <col min="12" max="12" width="15.77734375" style="25" customWidth="1"/>
    <col min="13" max="13" width="11" customWidth="1"/>
    <col min="25" max="25" width="8.88671875" customWidth="1"/>
  </cols>
  <sheetData>
    <row r="1" spans="1:15" ht="31.2" x14ac:dyDescent="0.3">
      <c r="A1" s="8" t="s">
        <v>172</v>
      </c>
      <c r="B1" s="4" t="s">
        <v>234</v>
      </c>
      <c r="C1" s="8" t="s">
        <v>0</v>
      </c>
      <c r="D1" s="4" t="s">
        <v>77</v>
      </c>
      <c r="E1" s="8" t="s">
        <v>173</v>
      </c>
      <c r="F1" s="4" t="s">
        <v>238</v>
      </c>
      <c r="G1" s="8" t="s">
        <v>239</v>
      </c>
      <c r="H1" s="4" t="s">
        <v>255</v>
      </c>
      <c r="I1" s="26" t="s">
        <v>256</v>
      </c>
      <c r="J1" s="27" t="s">
        <v>264</v>
      </c>
      <c r="K1" s="8" t="s">
        <v>263</v>
      </c>
      <c r="L1" s="29" t="s">
        <v>257</v>
      </c>
      <c r="M1" s="8" t="s">
        <v>258</v>
      </c>
      <c r="O1" t="s">
        <v>262</v>
      </c>
    </row>
    <row r="2" spans="1:15" x14ac:dyDescent="0.3">
      <c r="A2" s="5" t="s">
        <v>174</v>
      </c>
      <c r="B2" s="5" t="s">
        <v>89</v>
      </c>
      <c r="C2" s="5" t="s">
        <v>17</v>
      </c>
      <c r="D2" s="5" t="s">
        <v>93</v>
      </c>
      <c r="E2" s="24">
        <v>17010</v>
      </c>
      <c r="F2" s="22">
        <v>0.04</v>
      </c>
      <c r="G2" s="19">
        <f>E2*F2</f>
        <v>680.4</v>
      </c>
      <c r="H2" s="9" t="s">
        <v>259</v>
      </c>
      <c r="I2" s="16">
        <v>11907</v>
      </c>
      <c r="J2" s="28">
        <v>20</v>
      </c>
      <c r="K2" s="31">
        <f t="shared" ref="K2:K41" si="0">B323/100</f>
        <v>2E-3</v>
      </c>
      <c r="L2" s="30">
        <f xml:space="preserve"> (I2*(B323/12/100)*POWER(1+(B323/12/100),J2*12)) / (POWER(1+(B323/12/100),J2*12)-1)</f>
        <v>50.615498532621046</v>
      </c>
      <c r="M2" s="9" t="s">
        <v>11</v>
      </c>
    </row>
    <row r="3" spans="1:15" x14ac:dyDescent="0.3">
      <c r="A3" s="5" t="s">
        <v>175</v>
      </c>
      <c r="B3" s="5" t="s">
        <v>98</v>
      </c>
      <c r="C3" s="5" t="s">
        <v>27</v>
      </c>
      <c r="D3" s="5" t="s">
        <v>83</v>
      </c>
      <c r="E3" s="24">
        <v>8122.5</v>
      </c>
      <c r="F3" s="22">
        <v>0.1</v>
      </c>
      <c r="G3" s="19">
        <f t="shared" ref="G3:G41" si="1">E3*F3</f>
        <v>812.25</v>
      </c>
      <c r="H3" s="9" t="s">
        <v>260</v>
      </c>
      <c r="I3" s="16">
        <v>0</v>
      </c>
      <c r="J3" s="28">
        <v>0</v>
      </c>
      <c r="K3" s="31">
        <f t="shared" si="0"/>
        <v>0</v>
      </c>
      <c r="L3" s="30">
        <v>0</v>
      </c>
      <c r="M3" s="9" t="s">
        <v>261</v>
      </c>
    </row>
    <row r="4" spans="1:15" x14ac:dyDescent="0.3">
      <c r="A4" s="5" t="s">
        <v>176</v>
      </c>
      <c r="B4" s="5" t="s">
        <v>116</v>
      </c>
      <c r="C4" s="5" t="s">
        <v>30</v>
      </c>
      <c r="D4" s="5" t="s">
        <v>83</v>
      </c>
      <c r="E4" s="24">
        <v>42750</v>
      </c>
      <c r="F4" s="22">
        <v>0.02</v>
      </c>
      <c r="G4" s="19">
        <f t="shared" si="1"/>
        <v>855</v>
      </c>
      <c r="H4" s="9" t="s">
        <v>259</v>
      </c>
      <c r="I4" s="16">
        <v>29925</v>
      </c>
      <c r="J4" s="28">
        <v>15</v>
      </c>
      <c r="K4" s="31">
        <f t="shared" si="0"/>
        <v>0.115</v>
      </c>
      <c r="L4" s="30">
        <f xml:space="preserve"> (I4*(B325/12/100)*POWER(1+(B325/12/100),J4*12)) / (POWER(1+(B325/12/100),J4*12)-1)</f>
        <v>349.58080061496861</v>
      </c>
      <c r="M4" s="9" t="s">
        <v>177</v>
      </c>
    </row>
    <row r="5" spans="1:15" x14ac:dyDescent="0.3">
      <c r="A5" s="5" t="s">
        <v>178</v>
      </c>
      <c r="B5" s="5" t="s">
        <v>108</v>
      </c>
      <c r="C5" s="5" t="s">
        <v>21</v>
      </c>
      <c r="D5" s="5" t="s">
        <v>83</v>
      </c>
      <c r="E5" s="24">
        <v>34020</v>
      </c>
      <c r="F5" s="22">
        <v>0.05</v>
      </c>
      <c r="G5" s="19">
        <f t="shared" si="1"/>
        <v>1701</v>
      </c>
      <c r="H5" s="9" t="s">
        <v>259</v>
      </c>
      <c r="I5" s="16">
        <v>23814</v>
      </c>
      <c r="J5" s="28">
        <v>25</v>
      </c>
      <c r="K5" s="31">
        <f t="shared" si="0"/>
        <v>0.13</v>
      </c>
      <c r="L5" s="30">
        <f xml:space="preserve"> (I5*(B326/12/100)*POWER(1+(B326/12/100),J5*12)) / (POWER(1+(B326/12/100),J5*12)-1)</f>
        <v>268.58269919617129</v>
      </c>
      <c r="M5" s="9" t="s">
        <v>11</v>
      </c>
    </row>
    <row r="6" spans="1:15" x14ac:dyDescent="0.3">
      <c r="A6" s="5" t="s">
        <v>179</v>
      </c>
      <c r="B6" s="5" t="s">
        <v>122</v>
      </c>
      <c r="C6" s="5" t="s">
        <v>33</v>
      </c>
      <c r="D6" s="5" t="s">
        <v>97</v>
      </c>
      <c r="E6" s="24">
        <v>7125</v>
      </c>
      <c r="F6" s="22">
        <v>0.05</v>
      </c>
      <c r="G6" s="19">
        <f t="shared" si="1"/>
        <v>356.25</v>
      </c>
      <c r="H6" s="9" t="s">
        <v>260</v>
      </c>
      <c r="I6" s="16">
        <v>0</v>
      </c>
      <c r="J6" s="28">
        <v>0</v>
      </c>
      <c r="K6" s="31">
        <f t="shared" si="0"/>
        <v>0</v>
      </c>
      <c r="L6" s="30">
        <v>0</v>
      </c>
      <c r="M6" s="9" t="s">
        <v>261</v>
      </c>
    </row>
    <row r="7" spans="1:15" x14ac:dyDescent="0.3">
      <c r="A7" s="5" t="s">
        <v>180</v>
      </c>
      <c r="B7" s="5" t="s">
        <v>134</v>
      </c>
      <c r="C7" s="5" t="s">
        <v>55</v>
      </c>
      <c r="D7" s="5" t="s">
        <v>88</v>
      </c>
      <c r="E7" s="24">
        <v>32400</v>
      </c>
      <c r="F7" s="22">
        <v>0.03</v>
      </c>
      <c r="G7" s="19">
        <f t="shared" si="1"/>
        <v>972</v>
      </c>
      <c r="H7" s="9" t="s">
        <v>259</v>
      </c>
      <c r="I7" s="16">
        <v>22680</v>
      </c>
      <c r="J7" s="28">
        <v>20</v>
      </c>
      <c r="K7" s="31">
        <f t="shared" si="0"/>
        <v>0.12</v>
      </c>
      <c r="L7" s="30">
        <f xml:space="preserve"> (I7*(B328/12/100)*POWER(1+(B328/12/100),J7*12)) / (POWER(1+(B328/12/100),J7*12)-1)</f>
        <v>249.72633509358747</v>
      </c>
      <c r="M7" s="9" t="s">
        <v>11</v>
      </c>
    </row>
    <row r="8" spans="1:15" x14ac:dyDescent="0.3">
      <c r="A8" s="5" t="s">
        <v>181</v>
      </c>
      <c r="B8" s="5" t="s">
        <v>150</v>
      </c>
      <c r="C8" s="5" t="s">
        <v>182</v>
      </c>
      <c r="D8" s="5" t="s">
        <v>93</v>
      </c>
      <c r="E8" s="24">
        <v>35100</v>
      </c>
      <c r="F8" s="22">
        <v>2.5000000000000001E-2</v>
      </c>
      <c r="G8" s="19">
        <f t="shared" si="1"/>
        <v>877.5</v>
      </c>
      <c r="H8" s="9" t="s">
        <v>260</v>
      </c>
      <c r="I8" s="16">
        <v>0</v>
      </c>
      <c r="J8" s="28">
        <v>0</v>
      </c>
      <c r="K8" s="31">
        <f t="shared" si="0"/>
        <v>0</v>
      </c>
      <c r="L8" s="30">
        <v>0</v>
      </c>
      <c r="M8" s="9" t="s">
        <v>261</v>
      </c>
    </row>
    <row r="9" spans="1:15" x14ac:dyDescent="0.3">
      <c r="A9" s="5" t="s">
        <v>183</v>
      </c>
      <c r="B9" s="5" t="s">
        <v>78</v>
      </c>
      <c r="C9" s="5" t="s">
        <v>7</v>
      </c>
      <c r="D9" s="5" t="s">
        <v>83</v>
      </c>
      <c r="E9" s="24">
        <v>9720</v>
      </c>
      <c r="F9" s="22">
        <v>0.03</v>
      </c>
      <c r="G9" s="19">
        <f t="shared" si="1"/>
        <v>291.59999999999997</v>
      </c>
      <c r="H9" s="9" t="s">
        <v>259</v>
      </c>
      <c r="I9" s="16">
        <v>6804</v>
      </c>
      <c r="J9" s="28">
        <v>15</v>
      </c>
      <c r="K9" s="31">
        <f t="shared" si="0"/>
        <v>0.11</v>
      </c>
      <c r="L9" s="30">
        <f xml:space="preserve"> (I9*(B330/12/100)*POWER(1+(B330/12/100),J9*12)) / (POWER(1+(B330/12/100),J9*12)-1)</f>
        <v>77.334055427195977</v>
      </c>
      <c r="M9" s="9" t="s">
        <v>177</v>
      </c>
    </row>
    <row r="10" spans="1:15" x14ac:dyDescent="0.3">
      <c r="A10" s="5" t="s">
        <v>184</v>
      </c>
      <c r="B10" s="5" t="s">
        <v>84</v>
      </c>
      <c r="C10" s="5" t="s">
        <v>12</v>
      </c>
      <c r="D10" s="5" t="s">
        <v>88</v>
      </c>
      <c r="E10" s="24">
        <v>28350</v>
      </c>
      <c r="F10" s="22">
        <v>0.05</v>
      </c>
      <c r="G10" s="19">
        <f t="shared" si="1"/>
        <v>1417.5</v>
      </c>
      <c r="H10" s="9" t="s">
        <v>259</v>
      </c>
      <c r="I10" s="16">
        <v>19845</v>
      </c>
      <c r="J10" s="28">
        <v>20</v>
      </c>
      <c r="K10" s="31">
        <f t="shared" si="0"/>
        <v>0.125</v>
      </c>
      <c r="L10" s="30">
        <f xml:space="preserve"> (I10*(B331/12/100)*POWER(1+(B331/12/100),J10*12)) / (POWER(1+(B331/12/100),J10*12)-1)</f>
        <v>225.46709209081646</v>
      </c>
      <c r="M10" s="9" t="s">
        <v>11</v>
      </c>
    </row>
    <row r="11" spans="1:15" x14ac:dyDescent="0.3">
      <c r="A11" s="5" t="s">
        <v>185</v>
      </c>
      <c r="B11" s="5" t="s">
        <v>94</v>
      </c>
      <c r="C11" s="5" t="s">
        <v>24</v>
      </c>
      <c r="D11" s="5" t="s">
        <v>97</v>
      </c>
      <c r="E11" s="24">
        <v>85500</v>
      </c>
      <c r="F11" s="22">
        <v>0.05</v>
      </c>
      <c r="G11" s="19">
        <f t="shared" si="1"/>
        <v>4275</v>
      </c>
      <c r="H11" s="9" t="s">
        <v>260</v>
      </c>
      <c r="I11" s="16">
        <v>0</v>
      </c>
      <c r="J11" s="28">
        <v>0</v>
      </c>
      <c r="K11" s="31">
        <f t="shared" si="0"/>
        <v>0</v>
      </c>
      <c r="L11" s="30">
        <v>0</v>
      </c>
      <c r="M11" s="9" t="s">
        <v>261</v>
      </c>
    </row>
    <row r="12" spans="1:15" x14ac:dyDescent="0.3">
      <c r="A12" s="5" t="s">
        <v>186</v>
      </c>
      <c r="B12" s="5" t="s">
        <v>101</v>
      </c>
      <c r="C12" s="5" t="s">
        <v>30</v>
      </c>
      <c r="D12" s="5" t="s">
        <v>88</v>
      </c>
      <c r="E12" s="24">
        <v>34020</v>
      </c>
      <c r="F12" s="22">
        <v>2.5000000000000001E-2</v>
      </c>
      <c r="G12" s="19">
        <f t="shared" si="1"/>
        <v>850.5</v>
      </c>
      <c r="H12" s="9" t="s">
        <v>259</v>
      </c>
      <c r="I12" s="16">
        <v>23814</v>
      </c>
      <c r="J12" s="28">
        <v>18</v>
      </c>
      <c r="K12" s="31">
        <f t="shared" si="0"/>
        <v>0.11749999999999999</v>
      </c>
      <c r="L12" s="30">
        <f xml:space="preserve"> (I12*(B333/12/100)*POWER(1+(B333/12/100),J12*12)) / (POWER(1+(B333/12/100),J12*12)-1)</f>
        <v>265.54336688884723</v>
      </c>
      <c r="M12" s="9" t="s">
        <v>11</v>
      </c>
    </row>
    <row r="13" spans="1:15" x14ac:dyDescent="0.3">
      <c r="A13" s="5" t="s">
        <v>187</v>
      </c>
      <c r="B13" s="5" t="s">
        <v>104</v>
      </c>
      <c r="C13" s="5" t="s">
        <v>36</v>
      </c>
      <c r="D13" s="5" t="s">
        <v>93</v>
      </c>
      <c r="E13" s="24">
        <v>8910</v>
      </c>
      <c r="F13" s="22">
        <v>0.03</v>
      </c>
      <c r="G13" s="19">
        <f t="shared" si="1"/>
        <v>267.3</v>
      </c>
      <c r="H13" s="9" t="s">
        <v>260</v>
      </c>
      <c r="I13" s="16">
        <v>0</v>
      </c>
      <c r="J13" s="28">
        <v>0</v>
      </c>
      <c r="K13" s="31">
        <f t="shared" si="0"/>
        <v>0</v>
      </c>
      <c r="L13" s="30">
        <v>0</v>
      </c>
      <c r="M13" s="9" t="s">
        <v>261</v>
      </c>
    </row>
    <row r="14" spans="1:15" x14ac:dyDescent="0.3">
      <c r="A14" s="5" t="s">
        <v>188</v>
      </c>
      <c r="B14" s="5" t="s">
        <v>106</v>
      </c>
      <c r="C14" s="5" t="s">
        <v>39</v>
      </c>
      <c r="D14" s="5" t="s">
        <v>97</v>
      </c>
      <c r="E14" s="24">
        <v>12150</v>
      </c>
      <c r="F14" s="22">
        <v>0.1</v>
      </c>
      <c r="G14" s="19">
        <f t="shared" si="1"/>
        <v>1215</v>
      </c>
      <c r="H14" s="9" t="s">
        <v>259</v>
      </c>
      <c r="I14" s="16">
        <v>8505</v>
      </c>
      <c r="J14" s="28">
        <v>20</v>
      </c>
      <c r="K14" s="31">
        <f t="shared" si="0"/>
        <v>0.12</v>
      </c>
      <c r="L14" s="30">
        <f xml:space="preserve"> (I14*(B335/12/100)*POWER(1+(B335/12/100),J14*12)) / (POWER(1+(B335/12/100),J14*12)-1)</f>
        <v>93.647375660095307</v>
      </c>
      <c r="M14" s="9" t="s">
        <v>177</v>
      </c>
    </row>
    <row r="15" spans="1:15" x14ac:dyDescent="0.3">
      <c r="A15" s="5" t="s">
        <v>189</v>
      </c>
      <c r="B15" s="5" t="s">
        <v>110</v>
      </c>
      <c r="C15" s="5" t="s">
        <v>43</v>
      </c>
      <c r="D15" s="5" t="s">
        <v>88</v>
      </c>
      <c r="E15" s="24">
        <v>11535</v>
      </c>
      <c r="F15" s="22">
        <v>0.03</v>
      </c>
      <c r="G15" s="19">
        <f t="shared" si="1"/>
        <v>346.05</v>
      </c>
      <c r="H15" s="9" t="s">
        <v>259</v>
      </c>
      <c r="I15" s="16">
        <v>8074.5</v>
      </c>
      <c r="J15" s="28">
        <v>25</v>
      </c>
      <c r="K15" s="31">
        <f t="shared" si="0"/>
        <v>0.13500000000000001</v>
      </c>
      <c r="L15" s="30">
        <f xml:space="preserve"> (I15*(B336/12/100)*POWER(1+(B336/12/100),J15*12)) / (POWER(1+(B336/12/100),J15*12)-1)</f>
        <v>94.119996059838002</v>
      </c>
      <c r="M15" s="9" t="s">
        <v>11</v>
      </c>
    </row>
    <row r="16" spans="1:15" x14ac:dyDescent="0.3">
      <c r="A16" s="5" t="s">
        <v>190</v>
      </c>
      <c r="B16" s="5" t="s">
        <v>112</v>
      </c>
      <c r="C16" s="5" t="s">
        <v>46</v>
      </c>
      <c r="D16" s="5" t="s">
        <v>93</v>
      </c>
      <c r="E16" s="24">
        <v>128250</v>
      </c>
      <c r="F16" s="22">
        <v>0.05</v>
      </c>
      <c r="G16" s="19">
        <f t="shared" si="1"/>
        <v>6412.5</v>
      </c>
      <c r="H16" s="9" t="s">
        <v>260</v>
      </c>
      <c r="I16" s="16">
        <v>0</v>
      </c>
      <c r="J16" s="28">
        <v>0</v>
      </c>
      <c r="K16" s="31">
        <f t="shared" si="0"/>
        <v>0</v>
      </c>
      <c r="L16" s="30">
        <v>0</v>
      </c>
      <c r="M16" s="9" t="s">
        <v>261</v>
      </c>
    </row>
    <row r="17" spans="1:13" x14ac:dyDescent="0.3">
      <c r="A17" s="5" t="s">
        <v>191</v>
      </c>
      <c r="B17" s="5" t="s">
        <v>114</v>
      </c>
      <c r="C17" s="5" t="s">
        <v>49</v>
      </c>
      <c r="D17" s="5" t="s">
        <v>97</v>
      </c>
      <c r="E17" s="24">
        <v>8550</v>
      </c>
      <c r="F17" s="22">
        <v>0.1</v>
      </c>
      <c r="G17" s="19">
        <f t="shared" si="1"/>
        <v>855</v>
      </c>
      <c r="H17" s="9" t="s">
        <v>259</v>
      </c>
      <c r="I17" s="16">
        <v>5985</v>
      </c>
      <c r="J17" s="28">
        <v>15</v>
      </c>
      <c r="K17" s="31">
        <f t="shared" si="0"/>
        <v>0.1125</v>
      </c>
      <c r="L17" s="30">
        <f xml:space="preserve"> (I17*(B338/12/100)*POWER(1+(B338/12/100),J17*12)) / (POWER(1+(B338/12/100),J17*12)-1)</f>
        <v>68.967824549910716</v>
      </c>
      <c r="M17" s="9" t="s">
        <v>11</v>
      </c>
    </row>
    <row r="18" spans="1:13" x14ac:dyDescent="0.3">
      <c r="A18" s="5" t="s">
        <v>192</v>
      </c>
      <c r="B18" s="5" t="s">
        <v>118</v>
      </c>
      <c r="C18" s="5" t="s">
        <v>52</v>
      </c>
      <c r="D18" s="5" t="s">
        <v>88</v>
      </c>
      <c r="E18" s="24">
        <v>44550</v>
      </c>
      <c r="F18" s="22">
        <v>0.02</v>
      </c>
      <c r="G18" s="19">
        <f t="shared" si="1"/>
        <v>891</v>
      </c>
      <c r="H18" s="9" t="s">
        <v>260</v>
      </c>
      <c r="I18" s="16">
        <v>0</v>
      </c>
      <c r="J18" s="28">
        <v>0</v>
      </c>
      <c r="K18" s="31">
        <f t="shared" si="0"/>
        <v>0</v>
      </c>
      <c r="L18" s="30">
        <v>0</v>
      </c>
      <c r="M18" s="9" t="s">
        <v>261</v>
      </c>
    </row>
    <row r="19" spans="1:13" x14ac:dyDescent="0.3">
      <c r="A19" s="5" t="s">
        <v>193</v>
      </c>
      <c r="B19" s="5" t="s">
        <v>120</v>
      </c>
      <c r="C19" s="5" t="s">
        <v>55</v>
      </c>
      <c r="D19" s="5" t="s">
        <v>93</v>
      </c>
      <c r="E19" s="24">
        <v>7267.5</v>
      </c>
      <c r="F19" s="22">
        <v>0.03</v>
      </c>
      <c r="G19" s="19">
        <f t="shared" si="1"/>
        <v>218.02500000000001</v>
      </c>
      <c r="H19" s="9" t="s">
        <v>259</v>
      </c>
      <c r="I19" s="16">
        <v>5087.25</v>
      </c>
      <c r="J19" s="28">
        <v>20</v>
      </c>
      <c r="K19" s="31">
        <f t="shared" si="0"/>
        <v>0.12</v>
      </c>
      <c r="L19" s="30">
        <f xml:space="preserve"> (I19*(B340/12/100)*POWER(1+(B340/12/100),J19*12)) / (POWER(1+(B340/12/100),J19*12)-1)</f>
        <v>56.01500433001997</v>
      </c>
      <c r="M19" s="9" t="s">
        <v>177</v>
      </c>
    </row>
    <row r="20" spans="1:13" x14ac:dyDescent="0.3">
      <c r="A20" s="5" t="s">
        <v>194</v>
      </c>
      <c r="B20" s="5" t="s">
        <v>124</v>
      </c>
      <c r="C20" s="5" t="s">
        <v>58</v>
      </c>
      <c r="D20" s="5" t="s">
        <v>83</v>
      </c>
      <c r="E20" s="24">
        <v>202500</v>
      </c>
      <c r="F20" s="22">
        <v>0.05</v>
      </c>
      <c r="G20" s="19">
        <f t="shared" si="1"/>
        <v>10125</v>
      </c>
      <c r="H20" s="9" t="s">
        <v>259</v>
      </c>
      <c r="I20" s="16">
        <v>141750</v>
      </c>
      <c r="J20" s="28">
        <v>22</v>
      </c>
      <c r="K20" s="31">
        <f t="shared" si="0"/>
        <v>0.13</v>
      </c>
      <c r="L20" s="30">
        <f xml:space="preserve"> (I20*(B341/12/100)*POWER(1+(B341/12/100),J20*12)) / (POWER(1+(B341/12/100),J20*12)-1)</f>
        <v>1630.4458646863832</v>
      </c>
      <c r="M20" s="9" t="s">
        <v>11</v>
      </c>
    </row>
    <row r="21" spans="1:13" x14ac:dyDescent="0.3">
      <c r="A21" s="5" t="s">
        <v>195</v>
      </c>
      <c r="B21" s="5" t="s">
        <v>126</v>
      </c>
      <c r="C21" s="5" t="s">
        <v>61</v>
      </c>
      <c r="D21" s="5" t="s">
        <v>88</v>
      </c>
      <c r="E21" s="24">
        <v>8910</v>
      </c>
      <c r="F21" s="22">
        <v>0.1</v>
      </c>
      <c r="G21" s="19">
        <f t="shared" si="1"/>
        <v>891</v>
      </c>
      <c r="H21" s="9" t="s">
        <v>260</v>
      </c>
      <c r="I21" s="16">
        <v>0</v>
      </c>
      <c r="J21" s="28">
        <v>0</v>
      </c>
      <c r="K21" s="31">
        <f t="shared" si="0"/>
        <v>0</v>
      </c>
      <c r="L21" s="30">
        <v>0</v>
      </c>
      <c r="M21" s="9" t="s">
        <v>261</v>
      </c>
    </row>
    <row r="22" spans="1:13" x14ac:dyDescent="0.3">
      <c r="A22" s="5" t="s">
        <v>196</v>
      </c>
      <c r="B22" s="5" t="s">
        <v>128</v>
      </c>
      <c r="C22" s="5" t="s">
        <v>64</v>
      </c>
      <c r="D22" s="5" t="s">
        <v>93</v>
      </c>
      <c r="E22" s="24">
        <v>9720</v>
      </c>
      <c r="F22" s="22">
        <v>0.1</v>
      </c>
      <c r="G22" s="19">
        <f t="shared" si="1"/>
        <v>972</v>
      </c>
      <c r="H22" s="9" t="s">
        <v>259</v>
      </c>
      <c r="I22" s="16">
        <v>6804</v>
      </c>
      <c r="J22" s="28">
        <v>18</v>
      </c>
      <c r="K22" s="31">
        <f t="shared" si="0"/>
        <v>0.115</v>
      </c>
      <c r="L22" s="30">
        <f xml:space="preserve"> (I22*(B343/12/100)*POWER(1+(B343/12/100),J22*12)) / (POWER(1+(B343/12/100),J22*12)-1)</f>
        <v>74.728008311665135</v>
      </c>
      <c r="M22" s="9" t="s">
        <v>11</v>
      </c>
    </row>
    <row r="23" spans="1:13" x14ac:dyDescent="0.3">
      <c r="A23" s="5" t="s">
        <v>197</v>
      </c>
      <c r="B23" s="5" t="s">
        <v>130</v>
      </c>
      <c r="C23" s="5" t="s">
        <v>67</v>
      </c>
      <c r="D23" s="5" t="s">
        <v>97</v>
      </c>
      <c r="E23" s="24">
        <v>38220</v>
      </c>
      <c r="F23" s="22">
        <v>0.03</v>
      </c>
      <c r="G23" s="19">
        <f t="shared" si="1"/>
        <v>1146.5999999999999</v>
      </c>
      <c r="H23" s="9" t="s">
        <v>260</v>
      </c>
      <c r="I23" s="16">
        <v>0</v>
      </c>
      <c r="J23" s="28">
        <v>0</v>
      </c>
      <c r="K23" s="31">
        <f t="shared" si="0"/>
        <v>0</v>
      </c>
      <c r="L23" s="30">
        <v>0</v>
      </c>
      <c r="M23" s="9" t="s">
        <v>261</v>
      </c>
    </row>
    <row r="24" spans="1:13" x14ac:dyDescent="0.3">
      <c r="A24" s="5" t="s">
        <v>198</v>
      </c>
      <c r="B24" s="5" t="s">
        <v>132</v>
      </c>
      <c r="C24" s="5" t="s">
        <v>70</v>
      </c>
      <c r="D24" s="5" t="s">
        <v>83</v>
      </c>
      <c r="E24" s="24">
        <v>10687.5</v>
      </c>
      <c r="F24" s="22">
        <v>0.03</v>
      </c>
      <c r="G24" s="19">
        <f t="shared" si="1"/>
        <v>320.625</v>
      </c>
      <c r="H24" s="9" t="s">
        <v>259</v>
      </c>
      <c r="I24" s="16">
        <v>7481.25</v>
      </c>
      <c r="J24" s="28">
        <v>20</v>
      </c>
      <c r="K24" s="31">
        <f t="shared" si="0"/>
        <v>0.1225</v>
      </c>
      <c r="L24" s="30">
        <f xml:space="preserve"> (I24*(B345/12/100)*POWER(1+(B345/12/100),J24*12)) / (POWER(1+(B345/12/100),J24*12)-1)</f>
        <v>83.682620144457047</v>
      </c>
      <c r="M24" s="9" t="s">
        <v>177</v>
      </c>
    </row>
    <row r="25" spans="1:13" x14ac:dyDescent="0.3">
      <c r="A25" s="5" t="s">
        <v>199</v>
      </c>
      <c r="B25" s="5" t="s">
        <v>136</v>
      </c>
      <c r="C25" s="5" t="s">
        <v>200</v>
      </c>
      <c r="D25" s="5" t="s">
        <v>93</v>
      </c>
      <c r="E25" s="24">
        <v>25200</v>
      </c>
      <c r="F25" s="22">
        <v>0.04</v>
      </c>
      <c r="G25" s="19">
        <f t="shared" si="1"/>
        <v>1008</v>
      </c>
      <c r="H25" s="9" t="s">
        <v>259</v>
      </c>
      <c r="I25" s="16">
        <v>17640</v>
      </c>
      <c r="J25" s="28">
        <v>25</v>
      </c>
      <c r="K25" s="31">
        <f t="shared" si="0"/>
        <v>0.13</v>
      </c>
      <c r="L25" s="30">
        <f xml:space="preserve"> (I25*(B346/12/100)*POWER(1+(B346/12/100),J25*12)) / (POWER(1+(B346/12/100),J25*12)-1)</f>
        <v>198.95014755271947</v>
      </c>
      <c r="M25" s="9" t="s">
        <v>11</v>
      </c>
    </row>
    <row r="26" spans="1:13" x14ac:dyDescent="0.3">
      <c r="A26" s="5" t="s">
        <v>201</v>
      </c>
      <c r="B26" s="5" t="s">
        <v>138</v>
      </c>
      <c r="C26" s="5" t="s">
        <v>202</v>
      </c>
      <c r="D26" s="5" t="s">
        <v>97</v>
      </c>
      <c r="E26" s="24">
        <v>153900</v>
      </c>
      <c r="F26" s="22">
        <v>0.05</v>
      </c>
      <c r="G26" s="19">
        <f t="shared" si="1"/>
        <v>7695</v>
      </c>
      <c r="H26" s="9" t="s">
        <v>260</v>
      </c>
      <c r="I26" s="16">
        <v>0</v>
      </c>
      <c r="J26" s="28">
        <v>0</v>
      </c>
      <c r="K26" s="31">
        <f t="shared" si="0"/>
        <v>0</v>
      </c>
      <c r="L26" s="30">
        <v>0</v>
      </c>
      <c r="M26" s="9" t="s">
        <v>261</v>
      </c>
    </row>
    <row r="27" spans="1:13" x14ac:dyDescent="0.3">
      <c r="A27" s="5" t="s">
        <v>203</v>
      </c>
      <c r="B27" s="5" t="s">
        <v>140</v>
      </c>
      <c r="C27" s="5" t="s">
        <v>204</v>
      </c>
      <c r="D27" s="5" t="s">
        <v>83</v>
      </c>
      <c r="E27" s="24">
        <v>7695</v>
      </c>
      <c r="F27" s="22">
        <v>0.1</v>
      </c>
      <c r="G27" s="19">
        <f t="shared" si="1"/>
        <v>769.5</v>
      </c>
      <c r="H27" s="9" t="s">
        <v>259</v>
      </c>
      <c r="I27" s="16">
        <v>5386.5</v>
      </c>
      <c r="J27" s="28">
        <v>15</v>
      </c>
      <c r="K27" s="31">
        <f t="shared" si="0"/>
        <v>0.11749999999999999</v>
      </c>
      <c r="L27" s="30">
        <f xml:space="preserve"> (I27*(B348/12/100)*POWER(1+(B348/12/100),J27*12)) / (POWER(1+(B348/12/100),J27*12)-1)</f>
        <v>63.783235808962694</v>
      </c>
      <c r="M27" s="9" t="s">
        <v>11</v>
      </c>
    </row>
    <row r="28" spans="1:13" x14ac:dyDescent="0.3">
      <c r="A28" s="5" t="s">
        <v>205</v>
      </c>
      <c r="B28" s="5" t="s">
        <v>142</v>
      </c>
      <c r="C28" s="5" t="s">
        <v>206</v>
      </c>
      <c r="D28" s="5" t="s">
        <v>88</v>
      </c>
      <c r="E28" s="24">
        <v>40800</v>
      </c>
      <c r="F28" s="22">
        <v>2.5000000000000001E-2</v>
      </c>
      <c r="G28" s="19">
        <f t="shared" si="1"/>
        <v>1020</v>
      </c>
      <c r="H28" s="9" t="s">
        <v>260</v>
      </c>
      <c r="I28" s="16">
        <v>0</v>
      </c>
      <c r="J28" s="28">
        <v>0</v>
      </c>
      <c r="K28" s="31">
        <f t="shared" si="0"/>
        <v>0</v>
      </c>
      <c r="L28" s="30">
        <v>0</v>
      </c>
      <c r="M28" s="9" t="s">
        <v>261</v>
      </c>
    </row>
    <row r="29" spans="1:13" x14ac:dyDescent="0.3">
      <c r="A29" s="5" t="s">
        <v>207</v>
      </c>
      <c r="B29" s="5" t="s">
        <v>144</v>
      </c>
      <c r="C29" s="5" t="s">
        <v>208</v>
      </c>
      <c r="D29" s="5" t="s">
        <v>93</v>
      </c>
      <c r="E29" s="24">
        <v>12150</v>
      </c>
      <c r="F29" s="22">
        <v>0.1</v>
      </c>
      <c r="G29" s="19">
        <f t="shared" si="1"/>
        <v>1215</v>
      </c>
      <c r="H29" s="9" t="s">
        <v>259</v>
      </c>
      <c r="I29" s="16">
        <v>8505</v>
      </c>
      <c r="J29" s="28">
        <v>20</v>
      </c>
      <c r="K29" s="31">
        <f t="shared" si="0"/>
        <v>0.125</v>
      </c>
      <c r="L29" s="30">
        <f xml:space="preserve"> (I29*(B350/12/100)*POWER(1+(B350/12/100),J29*12)) / (POWER(1+(B350/12/100),J29*12)-1)</f>
        <v>96.62875375320705</v>
      </c>
      <c r="M29" s="9" t="s">
        <v>177</v>
      </c>
    </row>
    <row r="30" spans="1:13" x14ac:dyDescent="0.3">
      <c r="A30" s="5" t="s">
        <v>209</v>
      </c>
      <c r="B30" s="5" t="s">
        <v>146</v>
      </c>
      <c r="C30" s="5" t="s">
        <v>210</v>
      </c>
      <c r="D30" s="5" t="s">
        <v>97</v>
      </c>
      <c r="E30" s="24">
        <v>8977.5</v>
      </c>
      <c r="F30" s="22">
        <v>0.03</v>
      </c>
      <c r="G30" s="19">
        <f t="shared" si="1"/>
        <v>269.32499999999999</v>
      </c>
      <c r="H30" s="9" t="s">
        <v>259</v>
      </c>
      <c r="I30" s="16">
        <v>6284.25</v>
      </c>
      <c r="J30" s="28">
        <v>25</v>
      </c>
      <c r="K30" s="31">
        <f t="shared" si="0"/>
        <v>0.13250000000000001</v>
      </c>
      <c r="L30" s="30">
        <f xml:space="preserve"> (I30*(B351/12/100)*POWER(1+(B351/12/100),J30*12)) / (POWER(1+(B351/12/100),J30*12)-1)</f>
        <v>72.061521664997258</v>
      </c>
      <c r="M30" s="9" t="s">
        <v>11</v>
      </c>
    </row>
    <row r="31" spans="1:13" x14ac:dyDescent="0.3">
      <c r="A31" s="5" t="s">
        <v>211</v>
      </c>
      <c r="B31" s="5" t="s">
        <v>148</v>
      </c>
      <c r="C31" s="5" t="s">
        <v>212</v>
      </c>
      <c r="D31" s="5" t="s">
        <v>83</v>
      </c>
      <c r="E31" s="24">
        <v>256500</v>
      </c>
      <c r="F31" s="22">
        <v>0.05</v>
      </c>
      <c r="G31" s="19">
        <f t="shared" si="1"/>
        <v>12825</v>
      </c>
      <c r="H31" s="9" t="s">
        <v>260</v>
      </c>
      <c r="I31" s="16">
        <v>0</v>
      </c>
      <c r="J31" s="28">
        <v>0</v>
      </c>
      <c r="K31" s="31">
        <f t="shared" si="0"/>
        <v>0</v>
      </c>
      <c r="L31" s="30">
        <v>0</v>
      </c>
      <c r="M31" s="9" t="s">
        <v>261</v>
      </c>
    </row>
    <row r="32" spans="1:13" x14ac:dyDescent="0.3">
      <c r="A32" s="5" t="s">
        <v>213</v>
      </c>
      <c r="B32" s="5" t="s">
        <v>152</v>
      </c>
      <c r="C32" s="5" t="s">
        <v>214</v>
      </c>
      <c r="D32" s="5" t="s">
        <v>93</v>
      </c>
      <c r="E32" s="24">
        <v>10530</v>
      </c>
      <c r="F32" s="22">
        <v>0.03</v>
      </c>
      <c r="G32" s="19">
        <f t="shared" si="1"/>
        <v>315.89999999999998</v>
      </c>
      <c r="H32" s="9" t="s">
        <v>259</v>
      </c>
      <c r="I32" s="16">
        <v>7371</v>
      </c>
      <c r="J32" s="28">
        <v>18</v>
      </c>
      <c r="K32" s="31">
        <f t="shared" si="0"/>
        <v>0.115</v>
      </c>
      <c r="L32" s="30">
        <f xml:space="preserve"> (I32*(B353/12/100)*POWER(1+(B353/12/100),J32*12)) / (POWER(1+(B353/12/100),J32*12)-1)</f>
        <v>80.955342337637219</v>
      </c>
      <c r="M32" s="9" t="s">
        <v>11</v>
      </c>
    </row>
    <row r="33" spans="1:13" x14ac:dyDescent="0.3">
      <c r="A33" s="5" t="s">
        <v>215</v>
      </c>
      <c r="B33" s="5" t="s">
        <v>154</v>
      </c>
      <c r="C33" s="5" t="s">
        <v>216</v>
      </c>
      <c r="D33" s="5" t="s">
        <v>97</v>
      </c>
      <c r="E33" s="24">
        <v>50220</v>
      </c>
      <c r="F33" s="22">
        <v>0.02</v>
      </c>
      <c r="G33" s="19">
        <f t="shared" si="1"/>
        <v>1004.4</v>
      </c>
      <c r="H33" s="9" t="s">
        <v>260</v>
      </c>
      <c r="I33" s="16">
        <v>0</v>
      </c>
      <c r="J33" s="28">
        <v>0</v>
      </c>
      <c r="K33" s="31">
        <f t="shared" si="0"/>
        <v>0</v>
      </c>
      <c r="L33" s="30">
        <v>0</v>
      </c>
      <c r="M33" s="9" t="s">
        <v>261</v>
      </c>
    </row>
    <row r="34" spans="1:13" x14ac:dyDescent="0.3">
      <c r="A34" s="5" t="s">
        <v>217</v>
      </c>
      <c r="B34" s="5" t="s">
        <v>156</v>
      </c>
      <c r="C34" s="5" t="s">
        <v>218</v>
      </c>
      <c r="D34" s="5" t="s">
        <v>83</v>
      </c>
      <c r="E34" s="24">
        <v>8838</v>
      </c>
      <c r="F34" s="22">
        <v>0.1</v>
      </c>
      <c r="G34" s="19">
        <f t="shared" si="1"/>
        <v>883.80000000000007</v>
      </c>
      <c r="H34" s="9" t="s">
        <v>259</v>
      </c>
      <c r="I34" s="16">
        <v>6186.6</v>
      </c>
      <c r="J34" s="28">
        <v>20</v>
      </c>
      <c r="K34" s="31">
        <f t="shared" si="0"/>
        <v>0.12</v>
      </c>
      <c r="L34" s="30">
        <f xml:space="preserve"> (I34*(B355/12/100)*POWER(1+(B355/12/100),J34*12)) / (POWER(1+(B355/12/100),J34*12)-1)</f>
        <v>68.119794739417486</v>
      </c>
      <c r="M34" s="9" t="s">
        <v>177</v>
      </c>
    </row>
    <row r="35" spans="1:13" x14ac:dyDescent="0.3">
      <c r="A35" s="5" t="s">
        <v>219</v>
      </c>
      <c r="B35" s="5" t="s">
        <v>158</v>
      </c>
      <c r="C35" s="5" t="s">
        <v>220</v>
      </c>
      <c r="D35" s="5" t="s">
        <v>88</v>
      </c>
      <c r="E35" s="24">
        <v>46800</v>
      </c>
      <c r="F35" s="22">
        <v>0.02</v>
      </c>
      <c r="G35" s="19">
        <f t="shared" si="1"/>
        <v>936</v>
      </c>
      <c r="H35" s="9" t="s">
        <v>259</v>
      </c>
      <c r="I35" s="16">
        <v>32760</v>
      </c>
      <c r="J35" s="28">
        <v>22</v>
      </c>
      <c r="K35" s="31">
        <f t="shared" si="0"/>
        <v>0.13</v>
      </c>
      <c r="L35" s="30">
        <f xml:space="preserve"> (I35*(B356/12/100)*POWER(1+(B356/12/100),J35*12)) / (POWER(1+(B356/12/100),J35*12)-1)</f>
        <v>376.8141553941864</v>
      </c>
      <c r="M35" s="9" t="s">
        <v>11</v>
      </c>
    </row>
    <row r="36" spans="1:13" x14ac:dyDescent="0.3">
      <c r="A36" s="5" t="s">
        <v>221</v>
      </c>
      <c r="B36" s="5" t="s">
        <v>160</v>
      </c>
      <c r="C36" s="5" t="s">
        <v>222</v>
      </c>
      <c r="D36" s="5" t="s">
        <v>93</v>
      </c>
      <c r="E36" s="24">
        <v>198000</v>
      </c>
      <c r="F36" s="22">
        <v>0.05</v>
      </c>
      <c r="G36" s="19">
        <f t="shared" si="1"/>
        <v>9900</v>
      </c>
      <c r="H36" s="9" t="s">
        <v>260</v>
      </c>
      <c r="I36" s="16">
        <v>0</v>
      </c>
      <c r="J36" s="28">
        <v>0</v>
      </c>
      <c r="K36" s="31">
        <f t="shared" si="0"/>
        <v>0</v>
      </c>
      <c r="L36" s="30">
        <v>0</v>
      </c>
      <c r="M36" s="9" t="s">
        <v>261</v>
      </c>
    </row>
    <row r="37" spans="1:13" x14ac:dyDescent="0.3">
      <c r="A37" s="5" t="s">
        <v>223</v>
      </c>
      <c r="B37" s="5" t="s">
        <v>162</v>
      </c>
      <c r="C37" s="5" t="s">
        <v>224</v>
      </c>
      <c r="D37" s="5" t="s">
        <v>97</v>
      </c>
      <c r="E37" s="24">
        <v>12960</v>
      </c>
      <c r="F37" s="22">
        <v>0.1</v>
      </c>
      <c r="G37" s="19">
        <f t="shared" si="1"/>
        <v>1296</v>
      </c>
      <c r="H37" s="9" t="s">
        <v>259</v>
      </c>
      <c r="I37" s="16">
        <v>9072</v>
      </c>
      <c r="J37" s="28">
        <v>15</v>
      </c>
      <c r="K37" s="31">
        <f t="shared" si="0"/>
        <v>0.1125</v>
      </c>
      <c r="L37" s="30">
        <f xml:space="preserve"> (I37*(B358/12/100)*POWER(1+(B358/12/100),J37*12)) / (POWER(1+(B358/12/100),J37*12)-1)</f>
        <v>104.54070247565413</v>
      </c>
      <c r="M37" s="9" t="s">
        <v>11</v>
      </c>
    </row>
    <row r="38" spans="1:13" x14ac:dyDescent="0.3">
      <c r="A38" s="5" t="s">
        <v>225</v>
      </c>
      <c r="B38" s="5" t="s">
        <v>164</v>
      </c>
      <c r="C38" s="5" t="s">
        <v>226</v>
      </c>
      <c r="D38" s="5" t="s">
        <v>83</v>
      </c>
      <c r="E38" s="24">
        <v>9315</v>
      </c>
      <c r="F38" s="22">
        <v>0.03</v>
      </c>
      <c r="G38" s="19">
        <f t="shared" si="1"/>
        <v>279.45</v>
      </c>
      <c r="H38" s="9" t="s">
        <v>260</v>
      </c>
      <c r="I38" s="16">
        <v>0</v>
      </c>
      <c r="J38" s="28">
        <v>0</v>
      </c>
      <c r="K38" s="31">
        <f t="shared" si="0"/>
        <v>0</v>
      </c>
      <c r="L38" s="30">
        <v>0</v>
      </c>
      <c r="M38" s="9" t="s">
        <v>261</v>
      </c>
    </row>
    <row r="39" spans="1:13" x14ac:dyDescent="0.3">
      <c r="A39" s="5" t="s">
        <v>227</v>
      </c>
      <c r="B39" s="5" t="s">
        <v>166</v>
      </c>
      <c r="C39" s="5" t="s">
        <v>228</v>
      </c>
      <c r="D39" s="5" t="s">
        <v>88</v>
      </c>
      <c r="E39" s="24">
        <v>46800</v>
      </c>
      <c r="F39" s="22">
        <v>0.05</v>
      </c>
      <c r="G39" s="19">
        <f t="shared" si="1"/>
        <v>2340</v>
      </c>
      <c r="H39" s="9" t="s">
        <v>259</v>
      </c>
      <c r="I39" s="16">
        <v>32760</v>
      </c>
      <c r="J39" s="28">
        <v>20</v>
      </c>
      <c r="K39" s="31">
        <f t="shared" si="0"/>
        <v>0.125</v>
      </c>
      <c r="L39" s="30">
        <f xml:space="preserve"> (I39*(B360/12/100)*POWER(1+(B360/12/100),J39*12)) / (POWER(1+(B360/12/100),J39*12)-1)</f>
        <v>372.19964408642716</v>
      </c>
      <c r="M39" s="9" t="s">
        <v>177</v>
      </c>
    </row>
    <row r="40" spans="1:13" x14ac:dyDescent="0.3">
      <c r="A40" s="5" t="s">
        <v>229</v>
      </c>
      <c r="B40" s="5" t="s">
        <v>168</v>
      </c>
      <c r="C40" s="5" t="s">
        <v>230</v>
      </c>
      <c r="D40" s="5" t="s">
        <v>93</v>
      </c>
      <c r="E40" s="24">
        <v>48960</v>
      </c>
      <c r="F40" s="22">
        <v>0.03</v>
      </c>
      <c r="G40" s="19">
        <f t="shared" si="1"/>
        <v>1468.8</v>
      </c>
      <c r="H40" s="9" t="s">
        <v>259</v>
      </c>
      <c r="I40" s="16">
        <v>34272</v>
      </c>
      <c r="J40" s="28">
        <v>25</v>
      </c>
      <c r="K40" s="31">
        <f t="shared" si="0"/>
        <v>0.13</v>
      </c>
      <c r="L40" s="30">
        <f xml:space="preserve"> (I40*(B361/12/100)*POWER(1+(B361/12/100),J40*12)) / (POWER(1+(B361/12/100),J40*12)-1)</f>
        <v>386.53171524528352</v>
      </c>
      <c r="M40" s="9" t="s">
        <v>11</v>
      </c>
    </row>
    <row r="41" spans="1:13" x14ac:dyDescent="0.3">
      <c r="A41" s="5" t="s">
        <v>231</v>
      </c>
      <c r="B41" s="5" t="s">
        <v>170</v>
      </c>
      <c r="C41" s="5" t="s">
        <v>232</v>
      </c>
      <c r="D41" s="5" t="s">
        <v>97</v>
      </c>
      <c r="E41" s="24">
        <v>11970</v>
      </c>
      <c r="F41" s="22">
        <v>0.03</v>
      </c>
      <c r="G41" s="19">
        <f t="shared" si="1"/>
        <v>359.09999999999997</v>
      </c>
      <c r="H41" s="9" t="s">
        <v>260</v>
      </c>
      <c r="I41" s="16">
        <v>0</v>
      </c>
      <c r="J41" s="28">
        <v>0</v>
      </c>
      <c r="K41" s="31">
        <f t="shared" si="0"/>
        <v>0</v>
      </c>
      <c r="L41" s="30">
        <v>0</v>
      </c>
      <c r="M41" s="9" t="s">
        <v>261</v>
      </c>
    </row>
    <row r="42" spans="1:13" x14ac:dyDescent="0.3">
      <c r="A42" s="1"/>
      <c r="B42" s="1"/>
      <c r="C42" s="1"/>
      <c r="D42" s="1"/>
      <c r="E42" s="12"/>
      <c r="F42" s="12"/>
      <c r="G42" s="12"/>
    </row>
    <row r="43" spans="1:13" x14ac:dyDescent="0.3">
      <c r="A43" s="1"/>
      <c r="B43" s="1"/>
      <c r="C43" s="1"/>
      <c r="D43" s="1"/>
      <c r="E43" s="12"/>
      <c r="F43" s="12"/>
      <c r="G43" s="12"/>
    </row>
    <row r="49" spans="7:7" x14ac:dyDescent="0.3">
      <c r="G49" s="17"/>
    </row>
    <row r="323" spans="2:2" x14ac:dyDescent="0.3">
      <c r="B323">
        <v>0.2</v>
      </c>
    </row>
    <row r="324" spans="2:2" x14ac:dyDescent="0.3">
      <c r="B324">
        <v>0</v>
      </c>
    </row>
    <row r="325" spans="2:2" x14ac:dyDescent="0.3">
      <c r="B325">
        <v>11.5</v>
      </c>
    </row>
    <row r="326" spans="2:2" x14ac:dyDescent="0.3">
      <c r="B326">
        <v>13</v>
      </c>
    </row>
    <row r="327" spans="2:2" x14ac:dyDescent="0.3">
      <c r="B327">
        <v>0</v>
      </c>
    </row>
    <row r="328" spans="2:2" x14ac:dyDescent="0.3">
      <c r="B328">
        <v>12</v>
      </c>
    </row>
    <row r="329" spans="2:2" x14ac:dyDescent="0.3">
      <c r="B329">
        <v>0</v>
      </c>
    </row>
    <row r="330" spans="2:2" x14ac:dyDescent="0.3">
      <c r="B330">
        <v>11</v>
      </c>
    </row>
    <row r="331" spans="2:2" x14ac:dyDescent="0.3">
      <c r="B331">
        <v>12.5</v>
      </c>
    </row>
    <row r="332" spans="2:2" x14ac:dyDescent="0.3">
      <c r="B332">
        <v>0</v>
      </c>
    </row>
    <row r="333" spans="2:2" x14ac:dyDescent="0.3">
      <c r="B333">
        <v>11.75</v>
      </c>
    </row>
    <row r="334" spans="2:2" x14ac:dyDescent="0.3">
      <c r="B334">
        <v>0</v>
      </c>
    </row>
    <row r="335" spans="2:2" x14ac:dyDescent="0.3">
      <c r="B335">
        <v>12</v>
      </c>
    </row>
    <row r="336" spans="2:2" x14ac:dyDescent="0.3">
      <c r="B336">
        <v>13.5</v>
      </c>
    </row>
    <row r="337" spans="2:2" x14ac:dyDescent="0.3">
      <c r="B337">
        <v>0</v>
      </c>
    </row>
    <row r="338" spans="2:2" x14ac:dyDescent="0.3">
      <c r="B338">
        <v>11.25</v>
      </c>
    </row>
    <row r="339" spans="2:2" x14ac:dyDescent="0.3">
      <c r="B339">
        <v>0</v>
      </c>
    </row>
    <row r="340" spans="2:2" x14ac:dyDescent="0.3">
      <c r="B340">
        <v>12</v>
      </c>
    </row>
    <row r="341" spans="2:2" x14ac:dyDescent="0.3">
      <c r="B341">
        <v>13</v>
      </c>
    </row>
    <row r="342" spans="2:2" x14ac:dyDescent="0.3">
      <c r="B342">
        <v>0</v>
      </c>
    </row>
    <row r="343" spans="2:2" x14ac:dyDescent="0.3">
      <c r="B343">
        <v>11.5</v>
      </c>
    </row>
    <row r="344" spans="2:2" x14ac:dyDescent="0.3">
      <c r="B344">
        <v>0</v>
      </c>
    </row>
    <row r="345" spans="2:2" x14ac:dyDescent="0.3">
      <c r="B345">
        <v>12.25</v>
      </c>
    </row>
    <row r="346" spans="2:2" x14ac:dyDescent="0.3">
      <c r="B346">
        <v>13</v>
      </c>
    </row>
    <row r="347" spans="2:2" x14ac:dyDescent="0.3">
      <c r="B347">
        <v>0</v>
      </c>
    </row>
    <row r="348" spans="2:2" x14ac:dyDescent="0.3">
      <c r="B348">
        <v>11.75</v>
      </c>
    </row>
    <row r="349" spans="2:2" x14ac:dyDescent="0.3">
      <c r="B349">
        <v>0</v>
      </c>
    </row>
    <row r="350" spans="2:2" x14ac:dyDescent="0.3">
      <c r="B350">
        <v>12.5</v>
      </c>
    </row>
    <row r="351" spans="2:2" x14ac:dyDescent="0.3">
      <c r="B351">
        <v>13.25</v>
      </c>
    </row>
    <row r="352" spans="2:2" x14ac:dyDescent="0.3">
      <c r="B352">
        <v>0</v>
      </c>
    </row>
    <row r="353" spans="2:2" x14ac:dyDescent="0.3">
      <c r="B353">
        <v>11.5</v>
      </c>
    </row>
    <row r="354" spans="2:2" x14ac:dyDescent="0.3">
      <c r="B354">
        <v>0</v>
      </c>
    </row>
    <row r="355" spans="2:2" x14ac:dyDescent="0.3">
      <c r="B355">
        <v>12</v>
      </c>
    </row>
    <row r="356" spans="2:2" x14ac:dyDescent="0.3">
      <c r="B356">
        <v>13</v>
      </c>
    </row>
    <row r="357" spans="2:2" x14ac:dyDescent="0.3">
      <c r="B357">
        <v>0</v>
      </c>
    </row>
    <row r="358" spans="2:2" x14ac:dyDescent="0.3">
      <c r="B358">
        <v>11.25</v>
      </c>
    </row>
    <row r="359" spans="2:2" x14ac:dyDescent="0.3">
      <c r="B359">
        <v>0</v>
      </c>
    </row>
    <row r="360" spans="2:2" x14ac:dyDescent="0.3">
      <c r="B360">
        <v>12.5</v>
      </c>
    </row>
    <row r="361" spans="2:2" x14ac:dyDescent="0.3">
      <c r="B361">
        <v>13</v>
      </c>
    </row>
    <row r="362" spans="2:2" x14ac:dyDescent="0.3">
      <c r="B362">
        <v>0</v>
      </c>
    </row>
  </sheetData>
  <conditionalFormatting sqref="H1:H1048576">
    <cfRule type="cellIs" dxfId="9" priority="4" operator="equal">
      <formula>"Mortgage"</formula>
    </cfRule>
  </conditionalFormatting>
  <conditionalFormatting sqref="I1:K1 M1">
    <cfRule type="cellIs" dxfId="8" priority="6" operator="equal">
      <formula>"Received"</formula>
    </cfRule>
  </conditionalFormatting>
  <conditionalFormatting sqref="M1 I1:K1">
    <cfRule type="cellIs" dxfId="7" priority="5" operator="equal">
      <formula>"Pending"</formula>
    </cfRule>
  </conditionalFormatting>
  <conditionalFormatting sqref="M1:M1048576">
    <cfRule type="cellIs" dxfId="6" priority="1" operator="equal">
      <formula>"Pending"</formula>
    </cfRule>
    <cfRule type="cellIs" dxfId="5" priority="2" operator="equal">
      <formula>"Completed"</formula>
    </cfRule>
    <cfRule type="cellIs" dxfId="4" priority="3" operator="equal">
      <formula>"Active"</formula>
    </cfRule>
  </conditionalFormatting>
  <dataValidations count="1">
    <dataValidation type="list" allowBlank="1" showInputMessage="1" showErrorMessage="1" sqref="M1:M1048576" xr:uid="{79D4DFE1-D11F-4BD5-A7B9-B314D13B94D2}">
      <formula1>"Active,Completed,Pending"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9629-7208-4A84-9308-0800E1C3449C}">
  <dimension ref="A1:AE12"/>
  <sheetViews>
    <sheetView tabSelected="1" workbookViewId="0">
      <selection activeCell="AF16" sqref="AF16"/>
    </sheetView>
  </sheetViews>
  <sheetFormatPr defaultRowHeight="14.4" x14ac:dyDescent="0.3"/>
  <cols>
    <col min="1" max="1" width="26" customWidth="1"/>
    <col min="2" max="2" width="21.88671875" customWidth="1"/>
    <col min="15" max="15" width="11.33203125" customWidth="1"/>
    <col min="19" max="19" width="11.33203125" customWidth="1"/>
    <col min="20" max="20" width="10" customWidth="1"/>
    <col min="24" max="24" width="10.77734375" customWidth="1"/>
    <col min="25" max="25" width="8.88671875" customWidth="1"/>
    <col min="26" max="26" width="11.44140625" customWidth="1"/>
    <col min="28" max="28" width="11.109375" customWidth="1"/>
    <col min="29" max="29" width="8.77734375" customWidth="1"/>
    <col min="30" max="30" width="11.109375" customWidth="1"/>
  </cols>
  <sheetData>
    <row r="1" spans="1:31" ht="27" customHeight="1" x14ac:dyDescent="0.3">
      <c r="A1" s="6" t="s">
        <v>240</v>
      </c>
      <c r="B1" s="7" t="s">
        <v>241</v>
      </c>
      <c r="E1" s="36" t="s">
        <v>233</v>
      </c>
      <c r="F1" s="36"/>
      <c r="J1" s="37" t="s">
        <v>302</v>
      </c>
      <c r="K1" s="35"/>
      <c r="O1" s="37" t="s">
        <v>235</v>
      </c>
      <c r="P1" s="38"/>
      <c r="S1" s="39" t="s">
        <v>303</v>
      </c>
      <c r="T1" s="40"/>
      <c r="X1" s="34" t="s">
        <v>265</v>
      </c>
      <c r="Y1" s="35"/>
      <c r="AB1" s="33" t="s">
        <v>247</v>
      </c>
      <c r="AC1" s="33"/>
      <c r="AD1" s="32" t="s">
        <v>248</v>
      </c>
      <c r="AE1" s="32"/>
    </row>
    <row r="2" spans="1:31" ht="21.6" customHeight="1" x14ac:dyDescent="0.3">
      <c r="A2" s="14" t="s">
        <v>242</v>
      </c>
      <c r="B2" s="15">
        <f>SUMIFS('Deal data'!E:E,'Deal data'!E:E,"&gt;10000")</f>
        <v>1671832.5</v>
      </c>
      <c r="E2" s="36"/>
      <c r="F2" s="36"/>
      <c r="J2" s="35"/>
      <c r="K2" s="35"/>
      <c r="O2" s="38"/>
      <c r="P2" s="38"/>
      <c r="S2" s="41"/>
      <c r="T2" s="42"/>
      <c r="X2" s="35"/>
      <c r="Y2" s="35"/>
      <c r="AB2" s="33"/>
      <c r="AC2" s="33"/>
      <c r="AD2" s="32"/>
      <c r="AE2" s="32"/>
    </row>
    <row r="3" spans="1:31" ht="16.8" customHeight="1" x14ac:dyDescent="0.3">
      <c r="A3" s="14" t="s">
        <v>243</v>
      </c>
      <c r="B3" s="15">
        <f>SUMIFS('Deal data'!E:E,'Deal data'!E:E,"&lt;10000")</f>
        <v>103150.5</v>
      </c>
      <c r="E3" s="5" t="s">
        <v>9</v>
      </c>
      <c r="F3" s="5">
        <f>COUNTIF('Client Data'!C:C, "Buyer")</f>
        <v>9</v>
      </c>
      <c r="J3" s="5" t="s">
        <v>11</v>
      </c>
      <c r="K3" s="5">
        <f>COUNTIF('Client Data'!G:G, "Active")</f>
        <v>8</v>
      </c>
      <c r="O3" s="5" t="s">
        <v>79</v>
      </c>
      <c r="P3" s="5">
        <f>COUNTIF(Properties!B:B,"Apartment")</f>
        <v>14</v>
      </c>
      <c r="S3" s="5" t="s">
        <v>236</v>
      </c>
      <c r="T3" s="5">
        <f>COUNTIF(Properties!I:I, "Available")</f>
        <v>23</v>
      </c>
      <c r="X3" s="9" t="s">
        <v>259</v>
      </c>
      <c r="Y3" s="9">
        <f>COUNTIF('Deal data'!H:H, "Mortgage")</f>
        <v>24</v>
      </c>
      <c r="AB3" s="5" t="s">
        <v>82</v>
      </c>
      <c r="AC3" s="5">
        <f>COUNTIFS(Properties!B:B, "Apartment", Properties!I:I, "Available")</f>
        <v>9</v>
      </c>
      <c r="AD3" s="5" t="s">
        <v>82</v>
      </c>
      <c r="AE3" s="5">
        <f>COUNTIFS(Properties!B:B, "Villa", Properties!I:I, "Available")</f>
        <v>5</v>
      </c>
    </row>
    <row r="4" spans="1:31" ht="16.2" customHeight="1" x14ac:dyDescent="0.3">
      <c r="A4" s="14" t="s">
        <v>244</v>
      </c>
      <c r="B4" s="15">
        <f>SUM('Deal data'!G:G)</f>
        <v>80334.375</v>
      </c>
      <c r="E4" s="5" t="s">
        <v>14</v>
      </c>
      <c r="F4" s="5">
        <f>COUNTIF('Client Data'!C:C, "Tenant")</f>
        <v>11</v>
      </c>
      <c r="J4" s="5" t="s">
        <v>42</v>
      </c>
      <c r="K4" s="5">
        <f>COUNTIF('Client Data'!G:G, "Inactive")</f>
        <v>2</v>
      </c>
      <c r="O4" s="5" t="s">
        <v>85</v>
      </c>
      <c r="P4" s="5">
        <f>COUNTIF(Properties!B:B,"Villa")</f>
        <v>11</v>
      </c>
      <c r="S4" s="5" t="s">
        <v>103</v>
      </c>
      <c r="T4" s="5">
        <f>COUNTIF(Properties!I:I, "Under Offer")</f>
        <v>4</v>
      </c>
      <c r="X4" s="9" t="s">
        <v>260</v>
      </c>
      <c r="Y4" s="9">
        <f>COUNTIF('Deal data'!H:H, "Cash")</f>
        <v>16</v>
      </c>
      <c r="AB4" s="5" t="s">
        <v>92</v>
      </c>
      <c r="AC4" s="5">
        <f>COUNTIFS(Properties!B:B, "Apartment", Properties!I:I, "Sold")</f>
        <v>3</v>
      </c>
      <c r="AD4" s="5" t="s">
        <v>92</v>
      </c>
      <c r="AE4" s="5">
        <f>COUNTIFS(Properties!B:B, "Villa", Properties!I:I, "Sold")</f>
        <v>3</v>
      </c>
    </row>
    <row r="5" spans="1:31" ht="18" customHeight="1" x14ac:dyDescent="0.3">
      <c r="A5" s="14" t="s">
        <v>245</v>
      </c>
      <c r="B5" s="15">
        <v>50000</v>
      </c>
      <c r="E5" s="1"/>
      <c r="F5" s="1"/>
      <c r="G5" s="1"/>
      <c r="J5" s="5" t="s">
        <v>16</v>
      </c>
      <c r="K5" s="5">
        <f>COUNTIF('Client Data'!G:G, "New")</f>
        <v>6</v>
      </c>
      <c r="O5" s="5" t="s">
        <v>90</v>
      </c>
      <c r="P5" s="5">
        <f>COUNTIF(Properties!B:B,"Commercial")</f>
        <v>9</v>
      </c>
      <c r="S5" s="5" t="s">
        <v>100</v>
      </c>
      <c r="T5" s="5">
        <f>COUNTIF(Properties!I:I, "Rented")</f>
        <v>5</v>
      </c>
      <c r="X5" s="43"/>
      <c r="Y5" s="43"/>
      <c r="AB5" s="5" t="s">
        <v>100</v>
      </c>
      <c r="AC5" s="5">
        <f>COUNTIFS(Properties!B:B, "Apartment", Properties!I:I, "Rented")</f>
        <v>2</v>
      </c>
      <c r="AD5" s="5" t="s">
        <v>100</v>
      </c>
      <c r="AE5" s="5">
        <f>COUNTIFS(Properties!B:B, "Villa", Properties!I:I, "Rented")</f>
        <v>2</v>
      </c>
    </row>
    <row r="6" spans="1:31" ht="19.2" customHeight="1" x14ac:dyDescent="0.3">
      <c r="A6" s="14" t="s">
        <v>246</v>
      </c>
      <c r="B6" s="15">
        <f>B4-B5</f>
        <v>30334.375</v>
      </c>
      <c r="E6" s="1"/>
      <c r="F6" s="1"/>
      <c r="G6" s="1"/>
      <c r="J6" s="5" t="s">
        <v>20</v>
      </c>
      <c r="K6" s="5">
        <f>COUNTIF('Client Data'!G:G, "Closed")</f>
        <v>4</v>
      </c>
      <c r="O6" s="5" t="s">
        <v>95</v>
      </c>
      <c r="P6" s="5">
        <f>COUNTIF(Properties!B:B,"Land")</f>
        <v>6</v>
      </c>
      <c r="S6" s="5" t="s">
        <v>92</v>
      </c>
      <c r="T6" s="5">
        <f>COUNTIF(Properties!I:I, "Sold")</f>
        <v>8</v>
      </c>
      <c r="AB6" s="5" t="s">
        <v>103</v>
      </c>
      <c r="AC6" s="5">
        <f>COUNTIFS(Properties!B:B, "Apartment", Properties!I:I, "Under Offer")</f>
        <v>0</v>
      </c>
      <c r="AD6" s="5" t="s">
        <v>103</v>
      </c>
      <c r="AE6" s="5">
        <f>COUNTIFS(Properties!B:B, "Villa", Properties!I:I, "Under Offer")</f>
        <v>1</v>
      </c>
    </row>
    <row r="7" spans="1:31" ht="21" customHeight="1" x14ac:dyDescent="0.3">
      <c r="A7" s="14" t="s">
        <v>253</v>
      </c>
      <c r="B7" s="16">
        <f>AVERAGE('Deal data'!E:E)</f>
        <v>44374.574999999997</v>
      </c>
      <c r="AB7" s="33" t="s">
        <v>249</v>
      </c>
      <c r="AC7" s="33"/>
      <c r="AD7" s="32" t="s">
        <v>250</v>
      </c>
      <c r="AE7" s="32"/>
    </row>
    <row r="8" spans="1:31" x14ac:dyDescent="0.3">
      <c r="AB8" s="33"/>
      <c r="AC8" s="33"/>
      <c r="AD8" s="32"/>
      <c r="AE8" s="32"/>
    </row>
    <row r="9" spans="1:31" x14ac:dyDescent="0.3">
      <c r="AB9" s="5" t="s">
        <v>82</v>
      </c>
      <c r="AC9" s="5">
        <f>COUNTIFS(Properties!B:B, "Commercial", Properties!I:I, "Available")</f>
        <v>4</v>
      </c>
      <c r="AD9" s="5" t="s">
        <v>82</v>
      </c>
      <c r="AE9" s="5">
        <f>COUNTIFS(Properties!B:B, "Land", Properties!I:I, "Available")</f>
        <v>5</v>
      </c>
    </row>
    <row r="10" spans="1:31" x14ac:dyDescent="0.3">
      <c r="AB10" s="5" t="s">
        <v>92</v>
      </c>
      <c r="AC10" s="5">
        <f>COUNTIFS(Properties!B:B, "Commercial", Properties!I:I, "Sold")</f>
        <v>2</v>
      </c>
      <c r="AD10" s="5" t="s">
        <v>92</v>
      </c>
      <c r="AE10" s="5">
        <f>COUNTIFS(Properties!B:B, "Land", Properties!I:I, "Sold")</f>
        <v>0</v>
      </c>
    </row>
    <row r="11" spans="1:31" x14ac:dyDescent="0.3">
      <c r="AB11" s="5" t="s">
        <v>100</v>
      </c>
      <c r="AC11" s="5">
        <f>COUNTIFS(Properties!B:B, "Commercial", Properties!I:I, "Rented")</f>
        <v>0</v>
      </c>
      <c r="AD11" s="5" t="s">
        <v>100</v>
      </c>
      <c r="AE11" s="10" t="s">
        <v>251</v>
      </c>
    </row>
    <row r="12" spans="1:31" x14ac:dyDescent="0.3">
      <c r="AB12" s="5" t="s">
        <v>103</v>
      </c>
      <c r="AC12" s="5">
        <f>COUNTIFS(Properties!B:B, "Commercial", Properties!I:I, "Under OFFEr")</f>
        <v>3</v>
      </c>
      <c r="AD12" s="5" t="s">
        <v>103</v>
      </c>
      <c r="AE12" s="5">
        <f>COUNTIFS(Properties!B:B, "Land", Properties!I:I, "Under Offer")</f>
        <v>0</v>
      </c>
    </row>
  </sheetData>
  <mergeCells count="9">
    <mergeCell ref="AD1:AE2"/>
    <mergeCell ref="AB7:AC8"/>
    <mergeCell ref="AD7:AE8"/>
    <mergeCell ref="X1:Y2"/>
    <mergeCell ref="E1:F2"/>
    <mergeCell ref="J1:K2"/>
    <mergeCell ref="O1:P2"/>
    <mergeCell ref="S1:T2"/>
    <mergeCell ref="AB1:AC2"/>
  </mergeCells>
  <conditionalFormatting sqref="E3:E4">
    <cfRule type="cellIs" dxfId="3" priority="1" operator="equal">
      <formula>"Inactive"</formula>
    </cfRule>
    <cfRule type="cellIs" dxfId="2" priority="2" operator="equal">
      <formula>"Closed"</formula>
    </cfRule>
    <cfRule type="cellIs" dxfId="1" priority="3" operator="equal">
      <formula>"New"</formula>
    </cfRule>
    <cfRule type="cellIs" dxfId="0" priority="4" operator="equal">
      <formula>"Active"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 Data</vt:lpstr>
      <vt:lpstr>Properties</vt:lpstr>
      <vt:lpstr>Deal data</vt:lpstr>
      <vt:lpstr>Summary &amp;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mshahzaibshero@gmail.com</dc:creator>
  <cp:lastModifiedBy>mshahzaibshero@gmail.com</cp:lastModifiedBy>
  <cp:lastPrinted>2025-12-29T06:45:42Z</cp:lastPrinted>
  <dcterms:created xsi:type="dcterms:W3CDTF">2025-12-22T05:32:23Z</dcterms:created>
  <dcterms:modified xsi:type="dcterms:W3CDTF">2026-01-04T19:09:04Z</dcterms:modified>
</cp:coreProperties>
</file>